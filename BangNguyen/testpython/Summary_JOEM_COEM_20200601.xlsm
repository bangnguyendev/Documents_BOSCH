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c-ut40346c\nhi5hc\hieunguyen\0000_Project\001_Prj\02_JOEM\"/>
    </mc:Choice>
  </mc:AlternateContent>
  <bookViews>
    <workbookView xWindow="-120" yWindow="-120" windowWidth="15480" windowHeight="658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520" sheetId="10" r:id="rId10"/>
  </sheets>
  <definedNames>
    <definedName name="_xlnm._FilterDatabase" localSheetId="0" hidden="1">Merged_COEM!$B$59:$AN$318</definedName>
    <definedName name="_xlnm._FilterDatabase" localSheetId="1" hidden="1">Merged_JOEM!$B$59:$AN$68</definedName>
    <definedName name="Z_004AE50D_49C9_4A96_B731_3C42CAA0B01D_.wvu.FilterData" localSheetId="0" hidden="1">Merged_COEM!$B$59:$AN$59</definedName>
    <definedName name="Z_01DDD800_722F_415D_AA66_9ADBFD04888B_.wvu.FilterData" localSheetId="1" hidden="1">Merged_JOEM!$B$59:$AN$59</definedName>
    <definedName name="Z_040E8B46_CA61_4A56_9419_C22F6B3F774B_.wvu.FilterData" localSheetId="0" hidden="1">Merged_COEM!$B$59:$AN$318</definedName>
    <definedName name="Z_05361591_7A29_421F_B4E3_2E109EC18103_.wvu.FilterData" localSheetId="0" hidden="1">Merged_COEM!$B$59:$AN$318</definedName>
    <definedName name="Z_055B52FC_2B7B_42BC_9AD2_87565E082A86_.wvu.FilterData" localSheetId="0" hidden="1">Merged_COEM!$B$59:$AN$318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Merged_JOEM!$B$59:$AN$59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Merged_JOEM!$B$59:$AN$59</definedName>
    <definedName name="Z_08D9EC9E_19A1_44EF_88CC_A93BDAE68A62_.wvu.FilterData" localSheetId="0" hidden="1">Merged_COEM!$B$59:$AN$318</definedName>
    <definedName name="Z_09D9796A_BBD2_4AF7_BA95_A36C481CA4B7_.wvu.FilterData" localSheetId="0" hidden="1">Merged_COEM!$B$59:$AN$318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Merged_COEM!$B$59:$AN$318</definedName>
    <definedName name="Z_0EF03E06_FF78_44D3_8575_221339472074_.wvu.FilterData" localSheetId="0" hidden="1">Merged_COEM!$B$59:$AN$59</definedName>
    <definedName name="Z_0F860EF4_5649_4931_8506_A849C414452A_.wvu.FilterData" localSheetId="0" hidden="1">Merged_COEM!$B$59:$AN$59</definedName>
    <definedName name="Z_106E01A2_3463_4675_BE98_7276F6DD7ABE_.wvu.FilterData" localSheetId="0" hidden="1">Merged_COEM!$B$59:$AN$318</definedName>
    <definedName name="Z_116C406F_56EF_4929_AB69_7B88A04CBA56_.wvu.FilterData" localSheetId="0" hidden="1">Merged_COEM!$B$59:$AN$59</definedName>
    <definedName name="Z_132C6898_7BD8_4053_9284_49B13D9C8D59_.wvu.FilterData" localSheetId="0" hidden="1">Merged_COEM!$B$59:$AN$318</definedName>
    <definedName name="Z_132C6898_7BD8_4053_9284_49B13D9C8D59_.wvu.FilterData" localSheetId="1" hidden="1">Merged_JOEM!$B$59:$AN$59</definedName>
    <definedName name="Z_16F63D1D_5D08_4984_94E5_2BF0D97B7171_.wvu.FilterData" localSheetId="0" hidden="1">Merged_COEM!$B$59:$AN$318</definedName>
    <definedName name="Z_174A6792_5EF5_42CE_9B3B_86F53BE71447_.wvu.FilterData" localSheetId="0" hidden="1">Merged_COEM!$B$59:$AN$318</definedName>
    <definedName name="Z_1838E38E_0617_4284_B70D_EE93F3730ED0_.wvu.FilterData" localSheetId="0" hidden="1">Merged_COEM!$B$59:$AN$318</definedName>
    <definedName name="Z_1A40DE1E_71BB_4C99_BB8D_F9966378505E_.wvu.FilterData" localSheetId="0" hidden="1">Merged_COEM!$B$59:$AN$59</definedName>
    <definedName name="Z_1B4D24DE_B85A_4A3A_8CD0_1A40E6C2EC53_.wvu.FilterData" localSheetId="0" hidden="1">Merged_COEM!$B$59:$AN$318</definedName>
    <definedName name="Z_1BFCAE6D_00EB_4CA0_9800_157E5C060610_.wvu.FilterData" localSheetId="0" hidden="1">Merged_COEM!$B$59:$AN$59</definedName>
    <definedName name="Z_200B8BBC_3261_4338_B3CF_1D7E97745833_.wvu.FilterData" localSheetId="0" hidden="1">Merged_COEM!$B$59:$AN$318</definedName>
    <definedName name="Z_243D98C0_AF41_4E98_98EA_8605BD375B77_.wvu.FilterData" localSheetId="0" hidden="1">Merged_COEM!$B$59:$AN$318</definedName>
    <definedName name="Z_24F938AF_0FF7_4211_AC75_7C89293FE5CE_.wvu.FilterData" localSheetId="0" hidden="1">Merged_COEM!$B$59:$AN$318</definedName>
    <definedName name="Z_250915DF_0B97_45D7_B29D_7EED4C89C1C1_.wvu.FilterData" localSheetId="0" hidden="1">Merged_COEM!$B$59:$AN$318</definedName>
    <definedName name="Z_250915DF_0B97_45D7_B29D_7EED4C89C1C1_.wvu.FilterData" localSheetId="1" hidden="1">Merged_JOEM!$B$59:$AN$60</definedName>
    <definedName name="Z_25FBC392_575A_46D5_8F77_708EBF5D79D6_.wvu.FilterData" localSheetId="0" hidden="1">Merged_COEM!$B$59:$AN$318</definedName>
    <definedName name="Z_25FBC392_575A_46D5_8F77_708EBF5D79D6_.wvu.FilterData" localSheetId="1" hidden="1">Merged_JOEM!$B$59:$AN$60</definedName>
    <definedName name="Z_26D1F5A5_96D6_4E71_B7C1_A23D5D0DBEB6_.wvu.FilterData" localSheetId="0" hidden="1">Merged_COEM!$B$59:$AN$318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Merged_COEM!$A$59:$AN$318</definedName>
    <definedName name="Z_285DD5EF_1CB5_4C35_A533_25F2740DEC08_.wvu.FilterData" localSheetId="0" hidden="1">Merged_COEM!$B$59:$AN$59</definedName>
    <definedName name="Z_29839EDF_F2F9_4AC5_A497_0424D917FB56_.wvu.FilterData" localSheetId="0" hidden="1">Merged_COEM!$B$59:$AN$59</definedName>
    <definedName name="Z_2A9975D9_7C20_4632_A4AA_EE470CC19EE0_.wvu.FilterData" localSheetId="0" hidden="1">Merged_COEM!$B$59:$AN$318</definedName>
    <definedName name="Z_2C3435F1_E81D_47F6_BD8B_DF1F8AAB8E69_.wvu.FilterData" localSheetId="1" hidden="1">Merged_JOEM!$B$59:$AN$59</definedName>
    <definedName name="Z_2E715778_0FD5_4002_A3DD_663BBC9D2879_.wvu.FilterData" localSheetId="0" hidden="1">Merged_COEM!$B$59:$AN$59</definedName>
    <definedName name="Z_336B6883_2145_4B58_921E_CEC7185A847E_.wvu.FilterData" localSheetId="0" hidden="1">Merged_COEM!$P$59:$P$319</definedName>
    <definedName name="Z_336B6883_2145_4B58_921E_CEC7185A847E_.wvu.FilterData" localSheetId="1" hidden="1">Merged_JOEM!$B$59:$AN$60</definedName>
    <definedName name="Z_36B89FCF_06F8_420B_B5B7_D30030E7DBE9_.wvu.FilterData" localSheetId="0" hidden="1">Merged_COEM!$B$59:$AN$318</definedName>
    <definedName name="Z_3B3E6719_EACB_4D2C_89C1_05FFAB6020FD_.wvu.FilterData" localSheetId="0" hidden="1">Merged_COEM!$B$59:$AN$318</definedName>
    <definedName name="Z_3B3E6719_EACB_4D2C_89C1_05FFAB6020FD_.wvu.FilterData" localSheetId="1" hidden="1">Merged_JOEM!$B$59:$AN$68</definedName>
    <definedName name="Z_3D91D09F_6D0C_4255_BA2B_6BD947E2FF0E_.wvu.FilterData" localSheetId="0" hidden="1">Merged_COEM!$B$59:$AN$318</definedName>
    <definedName name="Z_3DA6A480_37AA_4361_B359_67BDC8170173_.wvu.FilterData" localSheetId="0" hidden="1">Merged_COEM!$B$59:$AN$318</definedName>
    <definedName name="Z_3F7EF641_556C_46DE_86B1_8FD08FA7AADD_.wvu.FilterData" localSheetId="1" hidden="1">Merged_JOEM!$B$59:$AN$60</definedName>
    <definedName name="Z_418FE5D8_ED33_487E_935B_D5A73A0239F7_.wvu.FilterData" localSheetId="0" hidden="1">Merged_COEM!$B$59:$AN$318</definedName>
    <definedName name="Z_42AD34C9_C124_4891_A108_88C3C0237529_.wvu.FilterData" localSheetId="0" hidden="1">Merged_COEM!$B$59:$AN$318</definedName>
    <definedName name="Z_43B967EC_0D7C_46DF_9BEA_C0266BCF49B2_.wvu.FilterData" localSheetId="0" hidden="1">Merged_COEM!$B$59:$AN$318</definedName>
    <definedName name="Z_4631CDC9_3CB0_46A0_A411_DA030B1C25C6_.wvu.FilterData" localSheetId="0" hidden="1">Merged_COEM!$B$59:$AN$318</definedName>
    <definedName name="Z_4631CDC9_3CB0_46A0_A411_DA030B1C25C6_.wvu.FilterData" localSheetId="1" hidden="1">Merged_JOEM!$B$59:$AN$60</definedName>
    <definedName name="Z_471F4494_0449_4884_B80A_27DCFF4E79A7_.wvu.FilterData" localSheetId="0" hidden="1">Merged_COEM!$P$59:$P$319</definedName>
    <definedName name="Z_48EBC9BD_BBD3_4C6E_B628_D0EABB67588C_.wvu.FilterData" localSheetId="0" hidden="1">Merged_COEM!$B$59:$AN$318</definedName>
    <definedName name="Z_49C41633_B7C8_4854_8F3B_012C131B8151_.wvu.FilterData" localSheetId="0" hidden="1">Merged_COEM!$B$59:$AN$318</definedName>
    <definedName name="Z_4D18CEA0_D888_4F4D_AE86_1305F839E5A9_.wvu.FilterData" localSheetId="0" hidden="1">Merged_COEM!$B$59:$AN$318</definedName>
    <definedName name="Z_4E06BDBF_2CED_473B_850B_2A6C7311FF41_.wvu.FilterData" localSheetId="0" hidden="1">Merged_COEM!$B$59:$AN$318</definedName>
    <definedName name="Z_4E06BDBF_2CED_473B_850B_2A6C7311FF41_.wvu.FilterData" localSheetId="1" hidden="1">Merged_JOEM!$B$59:$AN$151</definedName>
    <definedName name="Z_4E40C96A_1DEC_426A_8589_DE34E4915A35_.wvu.FilterData" localSheetId="0" hidden="1">Merged_COEM!$B$59:$AN$318</definedName>
    <definedName name="Z_4E40C96A_1DEC_426A_8589_DE34E4915A35_.wvu.FilterData" localSheetId="1" hidden="1">Merged_JOEM!$B$59:$AN$60</definedName>
    <definedName name="Z_4F06BBAE_E91E_44B6_8F57_972D5EE0D29B_.wvu.FilterData" localSheetId="0" hidden="1">Merged_COEM!$B$59:$AN$59</definedName>
    <definedName name="Z_52019DA7_9246_4B08_9F51_34B8F5416A98_.wvu.FilterData" localSheetId="0" hidden="1">Merged_COEM!$B$59:$AN$318</definedName>
    <definedName name="Z_542EBC9D_64B9_4ABA_A324_302A387E309D_.wvu.FilterData" localSheetId="0" hidden="1">Merged_COEM!$B$59:$AN$318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Merged_COEM!$B$59:$AN$59</definedName>
    <definedName name="Z_55DD069B_3978_4FE9_9C83_8FBEED3226A1_.wvu.FilterData" localSheetId="1" hidden="1">Merged_JOEM!$B$59:$AN$59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Merged_COEM!$B$59:$AN$59</definedName>
    <definedName name="Z_5C3799C0_C642_426B_89BE_BE1EE5249DB4_.wvu.FilterData" localSheetId="0" hidden="1">Merged_COEM!$P$59:$P$319</definedName>
    <definedName name="Z_5C3799C0_C642_426B_89BE_BE1EE5249DB4_.wvu.FilterData" localSheetId="1" hidden="1">Merged_JOEM!$B$59:$AN$59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Merged_COEM!$B$59:$AN$318</definedName>
    <definedName name="Z_5EDC2EFF_5E79_4466_BF9D_79C6A5B40ED9_.wvu.FilterData" localSheetId="0" hidden="1">Merged_COEM!$B$59:$AN$318</definedName>
    <definedName name="Z_60AC2527_814D_446F_96A2_688DF4B3FB31_.wvu.FilterData" localSheetId="0" hidden="1">Merged_COEM!$B$59:$AN$318</definedName>
    <definedName name="Z_60D2C030_4E31_4E07_8E1C_44D2EE84B177_.wvu.FilterData" localSheetId="0" hidden="1">Merged_COEM!$B$59:$AN$318</definedName>
    <definedName name="Z_60D2C030_4E31_4E07_8E1C_44D2EE84B177_.wvu.FilterData" localSheetId="1" hidden="1">Merged_JOEM!$B$59:$AN$68</definedName>
    <definedName name="Z_64D01CE5_FE18_455E_9C99_8DEE681E7DA8_.wvu.FilterData" localSheetId="0" hidden="1">Merged_COEM!$B$59:$AN$59</definedName>
    <definedName name="Z_654DEE07_DF95_4D03_A781_4519E9F80CCE_.wvu.FilterData" localSheetId="0" hidden="1">Merged_COEM!$B$59:$AN$318</definedName>
    <definedName name="Z_656025FA_CC5B_4D55_9B87_DB7CD14FDC3E_.wvu.FilterData" localSheetId="0" hidden="1">Merged_COEM!$B$59:$AN$59</definedName>
    <definedName name="Z_6607199E_6F59_49CF_9E27_CD16D2C15F5A_.wvu.FilterData" localSheetId="0" hidden="1">Merged_COEM!$B$59:$AN$318</definedName>
    <definedName name="Z_6607199E_6F59_49CF_9E27_CD16D2C15F5A_.wvu.FilterData" localSheetId="1" hidden="1">Merged_JOEM!$B$59:$AN$59</definedName>
    <definedName name="Z_686C29B7_8607_4292_9041_CB1F6097339C_.wvu.FilterData" localSheetId="0" hidden="1">Merged_COEM!$B$59:$AN$59</definedName>
    <definedName name="Z_68A8DFB2_121C_4691_9D2A_B69DC01BC1C7_.wvu.FilterData" localSheetId="0" hidden="1">Merged_COEM!$B$59:$AN$318</definedName>
    <definedName name="Z_6A5804B2_391C_4C29_93A5_DA8848A9C0A9_.wvu.FilterData" localSheetId="0" hidden="1">Merged_COEM!$B$59:$AN$318</definedName>
    <definedName name="Z_6B374A4D_249C_4C23_AA17_86959F27F346_.wvu.FilterData" localSheetId="0" hidden="1">Merged_COEM!$B$59:$AN$318</definedName>
    <definedName name="Z_6B374A4D_249C_4C23_AA17_86959F27F346_.wvu.FilterData" localSheetId="1" hidden="1">Merged_JOEM!$B$59:$AN$60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Merged_COEM!$B$59:$AN$59</definedName>
    <definedName name="Z_6DE17C78_E65F_476D_9F32_90CC12C01E83_.wvu.FilterData" localSheetId="0" hidden="1">Merged_COEM!$A$59:$AN$318</definedName>
    <definedName name="Z_6F138582_DA2E_48FF_8C71_FD324AC976C1_.wvu.FilterData" localSheetId="0" hidden="1">Merged_COEM!$B$59:$AN$318</definedName>
    <definedName name="Z_6FCAA524_7D77_4BB4_8962_4E73EBC6BB43_.wvu.FilterData" localSheetId="0" hidden="1">Merged_COEM!$B$59:$AN$59</definedName>
    <definedName name="Z_7261821D_1D33_4FAC_B604_2D03A21B59EC_.wvu.FilterData" localSheetId="0" hidden="1">Merged_COEM!$A$59:$AN$318</definedName>
    <definedName name="Z_72A6EB0A_84D5_4B8A_AC51_54CCD061630B_.wvu.FilterData" localSheetId="0" hidden="1">Merged_COEM!$B$59:$AN$318</definedName>
    <definedName name="Z_72A6EB0A_84D5_4B8A_AC51_54CCD061630B_.wvu.FilterData" localSheetId="1" hidden="1">Merged_JOEM!$B$59:$AN$60</definedName>
    <definedName name="Z_730EFCB3_2402_4578_8B7C_79704658095C_.wvu.FilterData" localSheetId="1" hidden="1">Merged_JOEM!$B$59:$AN$59</definedName>
    <definedName name="Z_74F104B0_C4E5_41FD_9F43_0DFCE277A292_.wvu.FilterData" localSheetId="0" hidden="1">Merged_COEM!$B$59:$AN$318</definedName>
    <definedName name="Z_76551960_825E_460F_979A_E5C4C2C41114_.wvu.FilterData" localSheetId="0" hidden="1">Merged_COEM!$B$59:$AN$318</definedName>
    <definedName name="Z_76551960_825E_460F_979A_E5C4C2C41114_.wvu.FilterData" localSheetId="1" hidden="1">Merged_JOEM!$B$59:$AN$60</definedName>
    <definedName name="Z_7BCF790B_B0C0_4842_8AD7_5E2098ABB76A_.wvu.FilterData" localSheetId="0" hidden="1">Merged_COEM!$B$59:$AN$318</definedName>
    <definedName name="Z_7E0EA425_A420_4443_B9E0_CDF0AA9E5D09_.wvu.FilterData" localSheetId="0" hidden="1">Merged_COEM!$B$59:$AN$318</definedName>
    <definedName name="Z_7E0EA425_A420_4443_B9E0_CDF0AA9E5D09_.wvu.FilterData" localSheetId="1" hidden="1">Merged_JOEM!$B$59:$AN$68</definedName>
    <definedName name="Z_7E9E86EE_4E86_464D_A02D_88BA33E6F7E1_.wvu.FilterData" localSheetId="0" hidden="1">Merged_COEM!$B$59:$AN$318</definedName>
    <definedName name="Z_7ECC2B8E_6A82_42F5_8AB0_4A51C54EA5EC_.wvu.FilterData" localSheetId="0" hidden="1">Merged_COEM!$B$59:$AN$318</definedName>
    <definedName name="Z_7ECC2B8E_6A82_42F5_8AB0_4A51C54EA5EC_.wvu.FilterData" localSheetId="1" hidden="1">Merged_JOEM!$B$59:$AN$151</definedName>
    <definedName name="Z_803CD872_D993_4AEC_ABDC_098E41A41D56_.wvu.FilterData" localSheetId="0" hidden="1">Merged_COEM!$B$59:$AN$318</definedName>
    <definedName name="Z_8196DF26_FED6_4AD5_81BB_407D7FD9D469_.wvu.FilterData" localSheetId="0" hidden="1">Merged_COEM!$B$59:$AN$318</definedName>
    <definedName name="Z_8272A3A2_9E6D_45E6_9C0F_2BEE73EF2A02_.wvu.FilterData" localSheetId="0" hidden="1">Merged_COEM!$B$59:$AN$318</definedName>
    <definedName name="Z_85A0930F_259C_45E1_BAE2_0EEDD0B3722A_.wvu.FilterData" localSheetId="0" hidden="1">Merged_COEM!$B$59:$AN$318</definedName>
    <definedName name="Z_884B0F10_5A34_444B_B198_846ACF3EE5A6_.wvu.FilterData" localSheetId="0" hidden="1">Merged_COEM!$B$59:$AN$318</definedName>
    <definedName name="Z_88E33156_B4B4_46C5_9DEC_A8C1A71097F0_.wvu.FilterData" localSheetId="0" hidden="1">Merged_COEM!$B$59:$AN$318</definedName>
    <definedName name="Z_8AF3B40C_4A62_4CCD_B7A0_B85E971B5DE3_.wvu.FilterData" localSheetId="0" hidden="1">Merged_COEM!$B$59:$AN$318</definedName>
    <definedName name="Z_8C93A640_930B_411B_8D78_081C9283D060_.wvu.FilterData" localSheetId="0" hidden="1">Merged_COEM!$B$59:$AN$318</definedName>
    <definedName name="Z_8C93A640_930B_411B_8D78_081C9283D060_.wvu.FilterData" localSheetId="1" hidden="1">Merged_JOEM!$B$59:$AN$59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Merged_JOEM!$B$59:$AN$59</definedName>
    <definedName name="Z_90215879_D202_47D7_95B0_308EB9360CBB_.wvu.FilterData" localSheetId="0" hidden="1">Merged_COEM!$B$59:$AN$59</definedName>
    <definedName name="Z_92142F03_965D_4EC5_9147_0A5F19A88128_.wvu.FilterData" localSheetId="0" hidden="1">Merged_COEM!$B$59:$AN$318</definedName>
    <definedName name="Z_92C3B6E0_E822_4BCF_8785_C7C14B2ADD22_.wvu.FilterData" localSheetId="0" hidden="1">Merged_COEM!$B$59:$AN$318</definedName>
    <definedName name="Z_9562D2D0_0C41_4023_A1EA_BD1C74059448_.wvu.FilterData" localSheetId="0" hidden="1">Merged_COEM!$B$59:$AN$318</definedName>
    <definedName name="Z_970EE037_F5E5_47AF_896A_0F6222879EBC_.wvu.FilterData" localSheetId="0" hidden="1">Merged_COEM!$B$59:$AN$318</definedName>
    <definedName name="Z_970EE037_F5E5_47AF_896A_0F6222879EBC_.wvu.FilterData" localSheetId="1" hidden="1">Merged_JOEM!$B$59:$AN$68</definedName>
    <definedName name="Z_97218D6F_FBE0_4BB8_82A5_9A2B9CDAE672_.wvu.FilterData" localSheetId="0" hidden="1">Merged_COEM!$B$59:$AN$318</definedName>
    <definedName name="Z_97A9DF88_B70E_4292_BE2C_86AD0A2D47DE_.wvu.FilterData" localSheetId="0" hidden="1">Merged_COEM!$B$59:$AN$318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Merged_COEM!$B$59:$AN$318</definedName>
    <definedName name="Z_9E145E8C_2B31_4DB8_B4B0_C616F5D01119_.wvu.FilterData" localSheetId="0" hidden="1">Merged_COEM!$B$59:$AN$59</definedName>
    <definedName name="Z_A15A9366_E30F_41B7_BA75_6474B00ABCD6_.wvu.FilterData" localSheetId="0" hidden="1">Merged_COEM!$B$59:$AN$318</definedName>
    <definedName name="Z_A2A917F4_F661_4683_88C9_57D64E10A4C2_.wvu.FilterData" localSheetId="0" hidden="1">Merged_COEM!$B$59:$AN$318</definedName>
    <definedName name="Z_A2C66332_A809_458E_971B_FDB6D62C74C3_.wvu.FilterData" localSheetId="0" hidden="1">Merged_COEM!$B$59:$AN$318</definedName>
    <definedName name="Z_A2C66332_A809_458E_971B_FDB6D62C74C3_.wvu.FilterData" localSheetId="1" hidden="1">Merged_JOEM!$B$59:$AN$151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660862E_E137_45E6_9126_F71C85FD8B0C_.wvu.FilterData" localSheetId="0" hidden="1">Merged_COEM!$B$59:$AN$59</definedName>
    <definedName name="Z_A6A46D6D_F867_4FA0_8E53_62A7F47A4E88_.wvu.FilterData" localSheetId="0" hidden="1">Merged_COEM!$P$59:$P$319</definedName>
    <definedName name="Z_A744FF6C_D2CD_4F7F_AB46_8716E1600217_.wvu.FilterData" localSheetId="0" hidden="1">Merged_COEM!$B$59:$AN$59</definedName>
    <definedName name="Z_AA3A2856_F934_43FD_A71B_100B2ECD9F4A_.wvu.FilterData" localSheetId="0" hidden="1">Merged_COEM!$B$59:$AN$59</definedName>
    <definedName name="Z_AA85FADB_94FF_41A1_80F2_8EF99C6BD443_.wvu.FilterData" localSheetId="0" hidden="1">Merged_COEM!$B$59:$AN$59</definedName>
    <definedName name="Z_ABE1B979_D75D_42A3_AB3C_1BC48A1ABE90_.wvu.FilterData" localSheetId="0" hidden="1">Merged_COEM!$B$59:$AN$318</definedName>
    <definedName name="Z_AC999F38_EF0E_452F_99C6_511671044A11_.wvu.FilterData" localSheetId="0" hidden="1">Merged_COEM!$B$59:$AN$318</definedName>
    <definedName name="Z_AC999F38_EF0E_452F_99C6_511671044A11_.wvu.FilterData" localSheetId="1" hidden="1">Merged_JOEM!$B$59:$AN$60</definedName>
    <definedName name="Z_AD31D473_ABF1_4543_84A5_D817CF174F0C_.wvu.FilterData" localSheetId="0" hidden="1">Merged_COEM!$B$59:$AN$318</definedName>
    <definedName name="Z_ADD46B79_F7F7_46DE_9772_2E93369E66DE_.wvu.FilterData" localSheetId="0" hidden="1">Merged_COEM!$B$59:$AN$318</definedName>
    <definedName name="Z_B0D4B0A9_441A_40CA_8004_F6D98B3003DF_.wvu.FilterData" localSheetId="0" hidden="1">Merged_COEM!$B$59:$AN$318</definedName>
    <definedName name="Z_B1BAE94B_9F00_4EF3_A8CE_FFF8D917D97C_.wvu.FilterData" localSheetId="0" hidden="1">Merged_COEM!$B$59:$AN$318</definedName>
    <definedName name="Z_B28487AD_1FF3_420C_9816_908EA83E5D3C_.wvu.FilterData" localSheetId="0" hidden="1">Merged_COEM!$A$59:$AN$318</definedName>
    <definedName name="Z_B28487AD_1FF3_420C_9816_908EA83E5D3C_.wvu.FilterData" localSheetId="1" hidden="1">Merged_JOEM!$B$59:$AN$60</definedName>
    <definedName name="Z_B28746A6_3784_4E4C_9E3E_05917653FE5F_.wvu.FilterData" localSheetId="0" hidden="1">Merged_COEM!$B$59:$AN$318</definedName>
    <definedName name="Z_B2C470A8_EA38_4E8A_AFC7_3088AC1C6257_.wvu.FilterData" localSheetId="0" hidden="1">Merged_COEM!$B$59:$AN$318</definedName>
    <definedName name="Z_B499B82B_96ED_4CBF_BFE1_5CA7DAD3BC0F_.wvu.FilterData" localSheetId="0" hidden="1">Merged_COEM!$B$59:$AN$318</definedName>
    <definedName name="Z_B63DD65C_9EF8_4E01_9252_9D7B6691A477_.wvu.FilterData" localSheetId="0" hidden="1">Merged_COEM!$B$59:$AN$59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Merged_COEM!$P$59:$P$319</definedName>
    <definedName name="Z_BC173873_A7A3_429A_A2F2_06B8E17D4E2D_.wvu.FilterData" localSheetId="0" hidden="1">Merged_COEM!$P$59:$P$319</definedName>
    <definedName name="Z_BC173873_A7A3_429A_A2F2_06B8E17D4E2D_.wvu.FilterData" localSheetId="1" hidden="1">Merged_JOEM!$B$59:$AN$59</definedName>
    <definedName name="Z_BCE99E97_CE8F_4575_BF43_E13B513D810F_.wvu.FilterData" localSheetId="0" hidden="1">Merged_COEM!$B$59:$AN$318</definedName>
    <definedName name="Z_BF1F7491_F461_4810_B06E_8AF629E4946B_.wvu.FilterData" localSheetId="0" hidden="1">Merged_COEM!$B$59:$AN$318</definedName>
    <definedName name="Z_BFE28FD3_FC05_47D2_B394_F3516A4D0AB3_.wvu.FilterData" localSheetId="0" hidden="1">Merged_COEM!$B$59:$AN$59</definedName>
    <definedName name="Z_C0E51FCA_4F01_4943_98A0_011C2CAE2D2E_.wvu.FilterData" localSheetId="0" hidden="1">Merged_COEM!$B$59:$AN$59</definedName>
    <definedName name="Z_C2BC807A_4231_4D9F_A0E3_91083B1E2121_.wvu.FilterData" localSheetId="0" hidden="1">Merged_COEM!$B$59:$AN$318</definedName>
    <definedName name="Z_C2BC807A_4231_4D9F_A0E3_91083B1E2121_.wvu.FilterData" localSheetId="1" hidden="1">Merged_JOEM!$B$59:$AN$60</definedName>
    <definedName name="Z_C36428D0_4662_4A3F_8269_04B9F62FB882_.wvu.FilterData" localSheetId="0" hidden="1">Merged_COEM!$B$59:$AN$318</definedName>
    <definedName name="Z_C3B26110_BB96_4041_9E86_8FB1D3595EC3_.wvu.FilterData" localSheetId="0" hidden="1">Merged_COEM!$P$59:$P$319</definedName>
    <definedName name="Z_C94451EF_7A3E_4D72_B5A4_3D1B193192CC_.wvu.FilterData" localSheetId="0" hidden="1">Merged_COEM!$B$59:$AN$318</definedName>
    <definedName name="Z_C94451EF_7A3E_4D72_B5A4_3D1B193192CC_.wvu.FilterData" localSheetId="1" hidden="1">Merged_JOEM!$B$59:$AN$68</definedName>
    <definedName name="Z_CD235416_A5FA_481B_8E55_C60A832823B9_.wvu.FilterData" localSheetId="0" hidden="1">Merged_COEM!$B$59:$AN$318</definedName>
    <definedName name="Z_CD27DB33_53E8_44D2_9D7B_46C7E0D8406D_.wvu.FilterData" localSheetId="1" hidden="1">Merged_JOEM!$B$59:$AN$60</definedName>
    <definedName name="Z_CDA0C6D7_3A34_4603_A386_6EC3B3F2C1A3_.wvu.FilterData" localSheetId="0" hidden="1">Merged_COEM!$B$59:$AN$59</definedName>
    <definedName name="Z_CEBE8AC3_188B_4F97_A24F_371A11C4421A_.wvu.FilterData" localSheetId="0" hidden="1">Merged_COEM!$B$59:$AN$59</definedName>
    <definedName name="Z_CFDF51A4_31D6_4E09_9872_4D69918FBCA4_.wvu.FilterData" localSheetId="0" hidden="1">Merged_COEM!$B$59:$AN$318</definedName>
    <definedName name="Z_D02104D3_51B8_4533_A2F3_8DEEA8EA85DE_.wvu.FilterData" localSheetId="0" hidden="1">Merged_COEM!$B$59:$AN$318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Merged_COEM!$B$59:$AN$318</definedName>
    <definedName name="Z_D33AC7AF_C8AB_4CE9_94C7_9237011A5FC3_.wvu.FilterData" localSheetId="1" hidden="1">Merged_JOEM!$B$59:$AN$151</definedName>
    <definedName name="Z_D41295E5_0507_4FFC_9DE6_9C52285F0275_.wvu.FilterData" localSheetId="0" hidden="1">Merged_COEM!$B$59:$AN$318</definedName>
    <definedName name="Z_D4D31799_D309_49FE_A753_935575949FDF_.wvu.FilterData" localSheetId="0" hidden="1">Merged_COEM!$B$59:$AN$318</definedName>
    <definedName name="Z_D4D31799_D309_49FE_A753_935575949FDF_.wvu.FilterData" localSheetId="1" hidden="1">Merged_JOEM!$B$59:$AN$60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Merged_COEM!$A$59:$AN$318</definedName>
    <definedName name="Z_D6B6CCCC_9FFF_4FFF_98B0_4EA5B228ED4B_.wvu.FilterData" localSheetId="0" hidden="1">Merged_COEM!$A$59:$AN$318</definedName>
    <definedName name="Z_D872AF61_C529_4DF8_A0AD_23C1DBB7ABFF_.wvu.FilterData" localSheetId="0" hidden="1">Merged_COEM!$B$59:$AN$318</definedName>
    <definedName name="Z_DA60DB17_D662_44C5_A44E_0215B156F1CB_.wvu.FilterData" localSheetId="0" hidden="1">Merged_COEM!$B$59:$AN$318</definedName>
    <definedName name="Z_DA60DB17_D662_44C5_A44E_0215B156F1CB_.wvu.FilterData" localSheetId="1" hidden="1">Merged_JOEM!$B$59:$AN$60</definedName>
    <definedName name="Z_DA781726_B906_42BF_9F10_92770707708D_.wvu.FilterData" localSheetId="0" hidden="1">Merged_COEM!$B$59:$AN$59</definedName>
    <definedName name="Z_DB3D53BC_032F_471F_94FC_E9876370C211_.wvu.FilterData" localSheetId="0" hidden="1">Merged_COEM!$B$59:$AN$318</definedName>
    <definedName name="Z_DDB52F07_9CA6_4C4D_B256_178082EC8245_.wvu.FilterData" localSheetId="0" hidden="1">Merged_COEM!$B$59:$AN$318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Merged_COEM!$B$59:$AN$318</definedName>
    <definedName name="Z_DE7792AA_5050_4583_A5BB_E5DDC52489C5_.wvu.FilterData" localSheetId="1" hidden="1">Merged_JOEM!$B$59:$AN$60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Merged_COEM!$B$59:$AN$318</definedName>
    <definedName name="Z_E6180E73_1E02_47C0_826F_065429E1DBB3_.wvu.FilterData" localSheetId="0" hidden="1">Merged_COEM!$B$59:$AN$59</definedName>
    <definedName name="Z_E72CA2CF_6FE7_4387_B8FB_A8EC0BD159B1_.wvu.FilterData" localSheetId="0" hidden="1">Merged_COEM!$B$59:$AN$318</definedName>
    <definedName name="Z_E73B0B7F_6007_4682_BC1D_F46CD41654E9_.wvu.FilterData" localSheetId="0" hidden="1">Merged_COEM!$B$59:$AN$318</definedName>
    <definedName name="Z_EB30279F_71BB_4BBD_A7EE_691D83FBCC50_.wvu.FilterData" localSheetId="0" hidden="1">Merged_COEM!$B$59:$AN$59</definedName>
    <definedName name="Z_F2F80064_51A8_4D52_A123_C0058F84AA1A_.wvu.FilterData" localSheetId="0" hidden="1">Merged_COEM!$B$59:$AN$318</definedName>
    <definedName name="Z_F3576CD0_5355_439B_B618_26A976A8AD4D_.wvu.FilterData" localSheetId="0" hidden="1">Merged_COEM!$B$59:$AN$318</definedName>
    <definedName name="Z_F3576CD0_5355_439B_B618_26A976A8AD4D_.wvu.FilterData" localSheetId="1" hidden="1">Merged_JOEM!$B$59:$AN$60</definedName>
    <definedName name="Z_F3C62E6E_7BB8_439B_825E_263944F8EEFB_.wvu.FilterData" localSheetId="0" hidden="1">Merged_COEM!$B$59:$AN$318</definedName>
    <definedName name="Z_F42B3598_EC4C_4CA4_96A7_EB7E4FD7B31F_.wvu.FilterData" localSheetId="0" hidden="1">Merged_COEM!$B$59:$AN$59</definedName>
    <definedName name="Z_F687CD9E_1B76_4957_9426_4ECD58D5D7D3_.wvu.FilterData" localSheetId="0" hidden="1">Merged_COEM!$B$59:$AN$59</definedName>
    <definedName name="Z_FDF8FFD6_749D_4772_99C1_B3E079EA1F04_.wvu.FilterData" localSheetId="0" hidden="1">Merged_COEM!$B$59:$AN$318</definedName>
    <definedName name="Z_FF8C4B39_B2F5_497E_BC38_7C8656C296DA_.wvu.FilterData" localSheetId="0" hidden="1">Merged_COEM!$B$59:$AN$59</definedName>
  </definedNames>
  <calcPr calcId="162913" calcOnSave="0"/>
  <customWorkbookViews>
    <customWorkbookView name="gup7hc - Personal View" guid="{3B3E6719-EACB-4D2C-89C1-05FFAB6020FD}" mergeInterval="0" personalView="1" maximized="1" xWindow="-8" yWindow="-8" windowWidth="1936" windowHeight="1186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Luu Cong Dac (Ban Vien, RBVH/EPS45) - Personal View" guid="{336B6883-2145-4B58-921E-CEC7185A847E}" mergeInterval="0" personalView="1" maximized="1" xWindow="-8" yWindow="-8" windowWidth="1936" windowHeight="1176" tabRatio="428" activeSheetId="2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1"/>
    <customWorkbookView name="EXTERNAL Nguyen Tuan Duong (Ban Vien, RBVH/EPS45) - Personal View" guid="{7E0EA425-A420-4443-B9E0-CDF0AA9E5D09}" mergeInterval="0" personalView="1" maximized="1" xWindow="-8" yWindow="-8" windowWidth="1936" windowHeight="1176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"/>
    <customWorkbookView name="EXTERNAL Do Phu Loc (Ban Vien, RBVH/EPS45) - Personal View" guid="{C94451EF-7A3E-4D72-B5A4-3D1B193192CC}" mergeInterval="0" personalView="1" maximized="1" xWindow="-8" yWindow="-8" windowWidth="1936" windowHeight="1176" tabRatio="501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4" l="1"/>
  <c r="D100" i="4"/>
  <c r="F100" i="4" s="1"/>
  <c r="K99" i="4"/>
  <c r="K101" i="4" s="1"/>
  <c r="J99" i="4"/>
  <c r="J101" i="4" s="1"/>
  <c r="C96" i="4"/>
  <c r="C95" i="4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68" i="2"/>
  <c r="X68" i="2" s="1"/>
  <c r="W67" i="2"/>
  <c r="X67" i="2" s="1"/>
  <c r="W66" i="2"/>
  <c r="X66" i="2" s="1"/>
  <c r="W65" i="2"/>
  <c r="X65" i="2" s="1"/>
  <c r="W64" i="2"/>
  <c r="X64" i="2" s="1"/>
  <c r="W63" i="2"/>
  <c r="X63" i="2" s="1"/>
  <c r="W62" i="2"/>
  <c r="X62" i="2" s="1"/>
  <c r="W61" i="2"/>
  <c r="X61" i="2" s="1"/>
  <c r="B62" i="2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61" i="2"/>
  <c r="K100" i="4" l="1"/>
  <c r="H100" i="4"/>
  <c r="H101" i="4"/>
  <c r="J100" i="4"/>
  <c r="J55" i="2"/>
  <c r="P72" i="6" s="1"/>
  <c r="I55" i="2"/>
  <c r="O72" i="6" s="1"/>
  <c r="J54" i="2"/>
  <c r="P71" i="6" s="1"/>
  <c r="I54" i="2"/>
  <c r="O71" i="6" s="1"/>
  <c r="J53" i="2"/>
  <c r="P70" i="6" s="1"/>
  <c r="I53" i="2"/>
  <c r="O70" i="6" s="1"/>
  <c r="J52" i="2"/>
  <c r="P69" i="6" s="1"/>
  <c r="I52" i="2"/>
  <c r="O69" i="6" s="1"/>
  <c r="J51" i="2"/>
  <c r="P68" i="6" s="1"/>
  <c r="I51" i="2"/>
  <c r="O68" i="6" s="1"/>
  <c r="F36" i="2"/>
  <c r="E36" i="2"/>
  <c r="D36" i="2"/>
  <c r="F35" i="2"/>
  <c r="E35" i="2"/>
  <c r="D35" i="2"/>
  <c r="F34" i="2"/>
  <c r="E34" i="2"/>
  <c r="G34" i="2" s="1"/>
  <c r="D34" i="2"/>
  <c r="F33" i="2"/>
  <c r="E33" i="2"/>
  <c r="P45" i="6" s="1"/>
  <c r="R45" i="6" s="1"/>
  <c r="D33" i="2"/>
  <c r="F32" i="2"/>
  <c r="E32" i="2"/>
  <c r="D32" i="2"/>
  <c r="F17" i="2"/>
  <c r="E17" i="2"/>
  <c r="O48" i="6" s="1"/>
  <c r="Q48" i="6" s="1"/>
  <c r="D17" i="2"/>
  <c r="F16" i="2"/>
  <c r="E16" i="2"/>
  <c r="O47" i="6" s="1"/>
  <c r="Q47" i="6" s="1"/>
  <c r="D16" i="2"/>
  <c r="F15" i="2"/>
  <c r="E15" i="2"/>
  <c r="O46" i="6" s="1"/>
  <c r="Q46" i="6" s="1"/>
  <c r="D15" i="2"/>
  <c r="F14" i="2"/>
  <c r="E14" i="2"/>
  <c r="O45" i="6" s="1"/>
  <c r="Q45" i="6" s="1"/>
  <c r="D14" i="2"/>
  <c r="F13" i="2"/>
  <c r="E13" i="2"/>
  <c r="O44" i="6" s="1"/>
  <c r="Q44" i="6" s="1"/>
  <c r="D13" i="2"/>
  <c r="J55" i="1"/>
  <c r="I55" i="1"/>
  <c r="J54" i="1"/>
  <c r="I54" i="1"/>
  <c r="J53" i="1"/>
  <c r="J15" i="6" s="1"/>
  <c r="I53" i="1"/>
  <c r="I15" i="6" s="1"/>
  <c r="J52" i="1"/>
  <c r="J14" i="6" s="1"/>
  <c r="I52" i="1"/>
  <c r="I14" i="6" s="1"/>
  <c r="J51" i="1"/>
  <c r="J13" i="6" s="1"/>
  <c r="I51" i="1"/>
  <c r="I13" i="6" s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F44" i="6" s="1"/>
  <c r="H44" i="6" s="1"/>
  <c r="D32" i="1"/>
  <c r="F16" i="1"/>
  <c r="E16" i="1"/>
  <c r="D16" i="1"/>
  <c r="F15" i="1"/>
  <c r="E15" i="1"/>
  <c r="D15" i="1"/>
  <c r="D53" i="1" s="1"/>
  <c r="F14" i="1"/>
  <c r="E14" i="1"/>
  <c r="D14" i="1"/>
  <c r="F13" i="1"/>
  <c r="E51" i="2" l="1"/>
  <c r="D54" i="2"/>
  <c r="E55" i="2"/>
  <c r="D53" i="2"/>
  <c r="D15" i="6" s="1"/>
  <c r="E54" i="2"/>
  <c r="P47" i="6"/>
  <c r="R47" i="6" s="1"/>
  <c r="D52" i="2"/>
  <c r="P44" i="6"/>
  <c r="R44" i="6" s="1"/>
  <c r="P46" i="6"/>
  <c r="R46" i="6" s="1"/>
  <c r="P48" i="6"/>
  <c r="R48" i="6" s="1"/>
  <c r="F46" i="6"/>
  <c r="H46" i="6" s="1"/>
  <c r="F47" i="6"/>
  <c r="H47" i="6" s="1"/>
  <c r="E70" i="6"/>
  <c r="E45" i="6"/>
  <c r="G45" i="6" s="1"/>
  <c r="F45" i="6"/>
  <c r="H45" i="6" s="1"/>
  <c r="F69" i="6"/>
  <c r="F48" i="6"/>
  <c r="H48" i="6" s="1"/>
  <c r="E71" i="6"/>
  <c r="E69" i="6"/>
  <c r="E46" i="6"/>
  <c r="G46" i="6" s="1"/>
  <c r="F71" i="6"/>
  <c r="J17" i="6"/>
  <c r="J16" i="6"/>
  <c r="I16" i="6"/>
  <c r="I17" i="6"/>
  <c r="F68" i="6"/>
  <c r="F70" i="6"/>
  <c r="F72" i="6"/>
  <c r="E68" i="6"/>
  <c r="E72" i="6"/>
  <c r="D54" i="1"/>
  <c r="D51" i="2"/>
  <c r="E52" i="2"/>
  <c r="D55" i="2"/>
  <c r="E53" i="2"/>
  <c r="H35" i="2"/>
  <c r="H15" i="2"/>
  <c r="H33" i="2"/>
  <c r="H36" i="2"/>
  <c r="H32" i="2"/>
  <c r="G35" i="2"/>
  <c r="H34" i="2"/>
  <c r="G32" i="2"/>
  <c r="G36" i="2"/>
  <c r="G33" i="2"/>
  <c r="H16" i="2"/>
  <c r="G14" i="2"/>
  <c r="H17" i="2"/>
  <c r="E54" i="1"/>
  <c r="D52" i="1"/>
  <c r="E53" i="1"/>
  <c r="E15" i="6" s="1"/>
  <c r="E52" i="1"/>
  <c r="G15" i="2"/>
  <c r="H13" i="2"/>
  <c r="H14" i="2"/>
  <c r="G16" i="2"/>
  <c r="G13" i="2"/>
  <c r="G17" i="2"/>
  <c r="G35" i="1"/>
  <c r="H15" i="1"/>
  <c r="H33" i="1"/>
  <c r="G34" i="1"/>
  <c r="H32" i="1"/>
  <c r="H34" i="1"/>
  <c r="H35" i="1"/>
  <c r="H36" i="1"/>
  <c r="G36" i="1"/>
  <c r="G32" i="1"/>
  <c r="G33" i="1"/>
  <c r="H16" i="1"/>
  <c r="H14" i="1"/>
  <c r="G14" i="1"/>
  <c r="G15" i="1"/>
  <c r="G16" i="1"/>
  <c r="H53" i="1" l="1"/>
  <c r="E14" i="6"/>
  <c r="H53" i="2"/>
  <c r="D14" i="6"/>
  <c r="H55" i="2"/>
  <c r="H52" i="2"/>
  <c r="H51" i="2"/>
  <c r="H54" i="2"/>
  <c r="D16" i="6"/>
  <c r="H15" i="6"/>
  <c r="E16" i="6"/>
  <c r="H52" i="1"/>
  <c r="H54" i="1"/>
  <c r="H14" i="6" l="1"/>
  <c r="H16" i="6"/>
  <c r="D24" i="5"/>
  <c r="E24" i="5" s="1"/>
  <c r="D23" i="5"/>
  <c r="E23" i="5" s="1"/>
  <c r="K22" i="5"/>
  <c r="J22" i="5"/>
  <c r="C19" i="5"/>
  <c r="C18" i="5"/>
  <c r="J24" i="5" l="1"/>
  <c r="K24" i="5"/>
  <c r="G23" i="5"/>
  <c r="F24" i="5"/>
  <c r="I24" i="5" s="1"/>
  <c r="J23" i="5"/>
  <c r="G24" i="5"/>
  <c r="K23" i="5"/>
  <c r="H23" i="5"/>
  <c r="H24" i="5"/>
  <c r="C17" i="5" l="1"/>
  <c r="C20" i="5"/>
  <c r="X247" i="1"/>
  <c r="X246" i="1"/>
  <c r="X245" i="1" l="1"/>
  <c r="F37" i="2" l="1"/>
  <c r="F31" i="2"/>
  <c r="F30" i="2"/>
  <c r="E30" i="2"/>
  <c r="P42" i="6" s="1"/>
  <c r="R42" i="6" s="1"/>
  <c r="D30" i="2"/>
  <c r="F29" i="2"/>
  <c r="E29" i="2"/>
  <c r="P41" i="6" s="1"/>
  <c r="R41" i="6" s="1"/>
  <c r="D29" i="2"/>
  <c r="F28" i="2"/>
  <c r="E28" i="2"/>
  <c r="P40" i="6" s="1"/>
  <c r="R40" i="6" s="1"/>
  <c r="D28" i="2"/>
  <c r="F27" i="2"/>
  <c r="E27" i="2"/>
  <c r="P39" i="6" s="1"/>
  <c r="R39" i="6" s="1"/>
  <c r="D27" i="2"/>
  <c r="F26" i="2"/>
  <c r="E26" i="2"/>
  <c r="P38" i="6" s="1"/>
  <c r="R38" i="6" s="1"/>
  <c r="D26" i="2"/>
  <c r="F25" i="2"/>
  <c r="E25" i="2"/>
  <c r="P37" i="6" s="1"/>
  <c r="R37" i="6" s="1"/>
  <c r="D25" i="2"/>
  <c r="F24" i="2"/>
  <c r="E24" i="2"/>
  <c r="P36" i="6" s="1"/>
  <c r="R36" i="6" s="1"/>
  <c r="D24" i="2"/>
  <c r="F23" i="2"/>
  <c r="E23" i="2"/>
  <c r="P35" i="6" s="1"/>
  <c r="D23" i="2"/>
  <c r="F18" i="2"/>
  <c r="F5" i="2"/>
  <c r="F6" i="2"/>
  <c r="F7" i="2"/>
  <c r="F8" i="2"/>
  <c r="F9" i="2"/>
  <c r="F10" i="2"/>
  <c r="F11" i="2"/>
  <c r="F12" i="2"/>
  <c r="F4" i="2"/>
  <c r="D4" i="2"/>
  <c r="E5" i="2"/>
  <c r="O36" i="6" s="1"/>
  <c r="Q36" i="6" s="1"/>
  <c r="E6" i="2"/>
  <c r="O37" i="6" s="1"/>
  <c r="Q37" i="6" s="1"/>
  <c r="E8" i="2"/>
  <c r="O39" i="6" s="1"/>
  <c r="Q39" i="6" s="1"/>
  <c r="E9" i="2"/>
  <c r="O40" i="6" s="1"/>
  <c r="Q40" i="6" s="1"/>
  <c r="E10" i="2"/>
  <c r="O41" i="6" s="1"/>
  <c r="Q41" i="6" s="1"/>
  <c r="E11" i="2"/>
  <c r="O42" i="6" s="1"/>
  <c r="Q42" i="6" s="1"/>
  <c r="E4" i="2"/>
  <c r="O35" i="6" s="1"/>
  <c r="E18" i="2"/>
  <c r="D18" i="2"/>
  <c r="D12" i="2"/>
  <c r="D11" i="2"/>
  <c r="D10" i="2"/>
  <c r="D9" i="2"/>
  <c r="D8" i="2"/>
  <c r="D7" i="2"/>
  <c r="D6" i="2"/>
  <c r="D5" i="2"/>
  <c r="X244" i="1"/>
  <c r="W293" i="1"/>
  <c r="W292" i="1"/>
  <c r="W291" i="1"/>
  <c r="Y293" i="1" l="1"/>
  <c r="G100" i="4" s="1"/>
  <c r="E100" i="4"/>
  <c r="I100" i="4" s="1"/>
  <c r="Y291" i="1"/>
  <c r="E101" i="4"/>
  <c r="F23" i="5"/>
  <c r="I23" i="5" s="1"/>
  <c r="Y292" i="1"/>
  <c r="X292" i="1"/>
  <c r="F101" i="4" s="1"/>
  <c r="E12" i="2"/>
  <c r="O43" i="6" s="1"/>
  <c r="Q43" i="6" s="1"/>
  <c r="E7" i="2"/>
  <c r="O38" i="6" s="1"/>
  <c r="Q38" i="6" s="1"/>
  <c r="D88" i="4"/>
  <c r="D87" i="4"/>
  <c r="K86" i="4"/>
  <c r="J86" i="4"/>
  <c r="C83" i="4"/>
  <c r="C82" i="4"/>
  <c r="G101" i="4" l="1"/>
  <c r="C94" i="4" s="1"/>
  <c r="I101" i="4"/>
  <c r="J88" i="4"/>
  <c r="K88" i="4"/>
  <c r="K87" i="4"/>
  <c r="H88" i="4"/>
  <c r="J87" i="4"/>
  <c r="C97" i="4" l="1"/>
  <c r="W210" i="1"/>
  <c r="X210" i="1" s="1"/>
  <c r="W134" i="1" l="1"/>
  <c r="X134" i="1" s="1"/>
  <c r="W242" i="1"/>
  <c r="X241" i="1"/>
  <c r="Y242" i="1" l="1"/>
  <c r="Y134" i="1"/>
  <c r="Z134" i="1" s="1"/>
  <c r="X242" i="1"/>
  <c r="W290" i="1"/>
  <c r="W289" i="1"/>
  <c r="W288" i="1"/>
  <c r="W287" i="1"/>
  <c r="W286" i="1"/>
  <c r="W285" i="1"/>
  <c r="W284" i="1"/>
  <c r="W283" i="1"/>
  <c r="W282" i="1"/>
  <c r="Y282" i="1" s="1"/>
  <c r="W281" i="1"/>
  <c r="Y281" i="1" s="1"/>
  <c r="W280" i="1"/>
  <c r="W279" i="1"/>
  <c r="W278" i="1"/>
  <c r="W277" i="1"/>
  <c r="Y277" i="1" s="1"/>
  <c r="W276" i="1"/>
  <c r="W275" i="1"/>
  <c r="W274" i="1"/>
  <c r="Y274" i="1" s="1"/>
  <c r="W273" i="1"/>
  <c r="Y273" i="1" s="1"/>
  <c r="W272" i="1"/>
  <c r="W271" i="1"/>
  <c r="Y271" i="1" s="1"/>
  <c r="W270" i="1"/>
  <c r="Y270" i="1" s="1"/>
  <c r="W269" i="1"/>
  <c r="Y269" i="1" s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X217" i="1"/>
  <c r="Y280" i="1" l="1"/>
  <c r="X280" i="1"/>
  <c r="Y285" i="1"/>
  <c r="X285" i="1"/>
  <c r="Y286" i="1"/>
  <c r="X286" i="1"/>
  <c r="Y284" i="1"/>
  <c r="X284" i="1"/>
  <c r="Y288" i="1"/>
  <c r="X288" i="1"/>
  <c r="Y289" i="1"/>
  <c r="X289" i="1"/>
  <c r="Y290" i="1"/>
  <c r="X290" i="1"/>
  <c r="Y283" i="1"/>
  <c r="X283" i="1"/>
  <c r="Y287" i="1"/>
  <c r="X287" i="1"/>
  <c r="Y279" i="1"/>
  <c r="X279" i="1"/>
  <c r="Y268" i="1"/>
  <c r="X268" i="1"/>
  <c r="Y276" i="1"/>
  <c r="X276" i="1"/>
  <c r="Y278" i="1"/>
  <c r="X278" i="1"/>
  <c r="Y267" i="1"/>
  <c r="X267" i="1"/>
  <c r="Y275" i="1"/>
  <c r="X275" i="1"/>
  <c r="Y272" i="1"/>
  <c r="X272" i="1"/>
  <c r="Y256" i="1"/>
  <c r="X256" i="1"/>
  <c r="Y261" i="1"/>
  <c r="X261" i="1"/>
  <c r="Y265" i="1"/>
  <c r="X265" i="1"/>
  <c r="Y258" i="1"/>
  <c r="X258" i="1"/>
  <c r="Y262" i="1"/>
  <c r="X262" i="1"/>
  <c r="Y266" i="1"/>
  <c r="X266" i="1"/>
  <c r="Y259" i="1"/>
  <c r="X259" i="1"/>
  <c r="Y263" i="1"/>
  <c r="X263" i="1"/>
  <c r="Y260" i="1"/>
  <c r="X260" i="1"/>
  <c r="Y264" i="1"/>
  <c r="X264" i="1"/>
  <c r="Y257" i="1"/>
  <c r="X257" i="1"/>
  <c r="W255" i="1"/>
  <c r="E88" i="4" s="1"/>
  <c r="W254" i="1"/>
  <c r="W253" i="1"/>
  <c r="W252" i="1"/>
  <c r="W251" i="1"/>
  <c r="W250" i="1"/>
  <c r="W249" i="1"/>
  <c r="W248" i="1"/>
  <c r="Y247" i="1"/>
  <c r="Y246" i="1"/>
  <c r="Y245" i="1"/>
  <c r="Y244" i="1"/>
  <c r="W243" i="1"/>
  <c r="E87" i="4" s="1"/>
  <c r="W146" i="1"/>
  <c r="X146" i="1" s="1"/>
  <c r="W241" i="1"/>
  <c r="Y241" i="1" s="1"/>
  <c r="X252" i="1" l="1"/>
  <c r="Y252" i="1"/>
  <c r="Z252" i="1" s="1"/>
  <c r="Y251" i="1"/>
  <c r="Z251" i="1" s="1"/>
  <c r="X251" i="1"/>
  <c r="Y255" i="1"/>
  <c r="G88" i="4" s="1"/>
  <c r="X255" i="1"/>
  <c r="F88" i="4" s="1"/>
  <c r="I88" i="4" s="1"/>
  <c r="Y254" i="1"/>
  <c r="X254" i="1"/>
  <c r="Y253" i="1"/>
  <c r="X253" i="1"/>
  <c r="Y248" i="1"/>
  <c r="X248" i="1"/>
  <c r="Y249" i="1"/>
  <c r="X249" i="1"/>
  <c r="Y250" i="1"/>
  <c r="X250" i="1"/>
  <c r="X243" i="1"/>
  <c r="Y243" i="1"/>
  <c r="C70" i="4"/>
  <c r="D75" i="4"/>
  <c r="G75" i="4" s="1"/>
  <c r="D74" i="4"/>
  <c r="K73" i="4"/>
  <c r="K75" i="4" s="1"/>
  <c r="J73" i="4"/>
  <c r="C69" i="4"/>
  <c r="W240" i="1"/>
  <c r="W239" i="1"/>
  <c r="W238" i="1"/>
  <c r="Y238" i="1" s="1"/>
  <c r="W237" i="1"/>
  <c r="Y237" i="1" s="1"/>
  <c r="W236" i="1"/>
  <c r="Y236" i="1" s="1"/>
  <c r="W235" i="1"/>
  <c r="X235" i="1" s="1"/>
  <c r="W234" i="1"/>
  <c r="X234" i="1" s="1"/>
  <c r="W233" i="1"/>
  <c r="Y233" i="1" s="1"/>
  <c r="W232" i="1"/>
  <c r="Y232" i="1" s="1"/>
  <c r="W231" i="1"/>
  <c r="Y231" i="1" s="1"/>
  <c r="W230" i="1"/>
  <c r="X230" i="1" s="1"/>
  <c r="W229" i="1"/>
  <c r="X229" i="1" s="1"/>
  <c r="W228" i="1"/>
  <c r="Y228" i="1" s="1"/>
  <c r="W227" i="1"/>
  <c r="X227" i="1" s="1"/>
  <c r="W226" i="1"/>
  <c r="W225" i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W218" i="1"/>
  <c r="W216" i="1"/>
  <c r="X216" i="1" s="1"/>
  <c r="W215" i="1"/>
  <c r="X215" i="1" s="1"/>
  <c r="W214" i="1"/>
  <c r="Y214" i="1" s="1"/>
  <c r="W213" i="1"/>
  <c r="W212" i="1"/>
  <c r="W211" i="1"/>
  <c r="Y210" i="1"/>
  <c r="W209" i="1"/>
  <c r="W208" i="1"/>
  <c r="W207" i="1"/>
  <c r="W206" i="1"/>
  <c r="W205" i="1"/>
  <c r="Y205" i="1" s="1"/>
  <c r="W204" i="1"/>
  <c r="Y204" i="1" s="1"/>
  <c r="W203" i="1"/>
  <c r="X203" i="1" s="1"/>
  <c r="X202" i="1"/>
  <c r="W201" i="1"/>
  <c r="X201" i="1" s="1"/>
  <c r="W200" i="1"/>
  <c r="Y200" i="1" s="1"/>
  <c r="W199" i="1"/>
  <c r="W198" i="1"/>
  <c r="W197" i="1"/>
  <c r="W196" i="1"/>
  <c r="W195" i="1"/>
  <c r="W194" i="1"/>
  <c r="X194" i="1" s="1"/>
  <c r="W193" i="1"/>
  <c r="W192" i="1"/>
  <c r="W191" i="1"/>
  <c r="W190" i="1"/>
  <c r="Y190" i="1" s="1"/>
  <c r="W189" i="1"/>
  <c r="Y189" i="1" s="1"/>
  <c r="W188" i="1"/>
  <c r="Y188" i="1" s="1"/>
  <c r="W187" i="1"/>
  <c r="Y187" i="1" s="1"/>
  <c r="W186" i="1"/>
  <c r="W185" i="1"/>
  <c r="W184" i="1"/>
  <c r="W183" i="1"/>
  <c r="X116" i="1"/>
  <c r="W137" i="1"/>
  <c r="Y199" i="1" l="1"/>
  <c r="Z199" i="1" s="1"/>
  <c r="X199" i="1"/>
  <c r="Y198" i="1"/>
  <c r="Z198" i="1" s="1"/>
  <c r="X198" i="1"/>
  <c r="Y197" i="1"/>
  <c r="Z197" i="1" s="1"/>
  <c r="X197" i="1"/>
  <c r="Y196" i="1"/>
  <c r="Z196" i="1" s="1"/>
  <c r="X196" i="1"/>
  <c r="J75" i="4"/>
  <c r="H87" i="4"/>
  <c r="F87" i="4"/>
  <c r="I87" i="4" s="1"/>
  <c r="G87" i="4"/>
  <c r="C81" i="4" s="1"/>
  <c r="Y219" i="1"/>
  <c r="X219" i="1"/>
  <c r="Y209" i="1"/>
  <c r="X209" i="1"/>
  <c r="Y213" i="1"/>
  <c r="X213" i="1"/>
  <c r="Y212" i="1"/>
  <c r="X212" i="1"/>
  <c r="Y208" i="1"/>
  <c r="X208" i="1"/>
  <c r="Y207" i="1"/>
  <c r="X207" i="1"/>
  <c r="Y186" i="1"/>
  <c r="X186" i="1"/>
  <c r="Y185" i="1"/>
  <c r="X185" i="1"/>
  <c r="Y184" i="1"/>
  <c r="X184" i="1"/>
  <c r="Y183" i="1"/>
  <c r="X183" i="1"/>
  <c r="Y195" i="1"/>
  <c r="X195" i="1"/>
  <c r="Y211" i="1"/>
  <c r="X211" i="1"/>
  <c r="Y240" i="1"/>
  <c r="X240" i="1"/>
  <c r="Y206" i="1"/>
  <c r="X206" i="1"/>
  <c r="Y239" i="1"/>
  <c r="X239" i="1"/>
  <c r="Y226" i="1"/>
  <c r="X226" i="1"/>
  <c r="Y225" i="1"/>
  <c r="X225" i="1"/>
  <c r="Y218" i="1"/>
  <c r="X218" i="1"/>
  <c r="Y203" i="1"/>
  <c r="Z203" i="1" s="1"/>
  <c r="Y215" i="1"/>
  <c r="Y227" i="1"/>
  <c r="Y235" i="1"/>
  <c r="Y191" i="1"/>
  <c r="Z191" i="1" s="1"/>
  <c r="X191" i="1"/>
  <c r="Y192" i="1"/>
  <c r="Z192" i="1" s="1"/>
  <c r="X192" i="1"/>
  <c r="Y216" i="1"/>
  <c r="Y193" i="1"/>
  <c r="X193" i="1"/>
  <c r="Y201" i="1"/>
  <c r="Y217" i="1"/>
  <c r="Y229" i="1"/>
  <c r="Y194" i="1"/>
  <c r="Z194" i="1" s="1"/>
  <c r="Y202" i="1"/>
  <c r="Y230" i="1"/>
  <c r="Y234" i="1"/>
  <c r="E74" i="4"/>
  <c r="E75" i="4"/>
  <c r="J74" i="4"/>
  <c r="F75" i="4"/>
  <c r="H75" i="4"/>
  <c r="K74" i="4"/>
  <c r="X120" i="1"/>
  <c r="K19" i="2"/>
  <c r="K17" i="2"/>
  <c r="K19" i="1"/>
  <c r="K17" i="1"/>
  <c r="C84" i="4" l="1"/>
  <c r="G74" i="4"/>
  <c r="C68" i="4" s="1"/>
  <c r="Z193" i="1"/>
  <c r="H74" i="4" s="1"/>
  <c r="F74" i="4"/>
  <c r="I74" i="4" s="1"/>
  <c r="I75" i="4"/>
  <c r="W179" i="1"/>
  <c r="C71" i="4" l="1"/>
  <c r="Y179" i="1"/>
  <c r="X179" i="1"/>
  <c r="W177" i="1"/>
  <c r="W178" i="1"/>
  <c r="W180" i="1"/>
  <c r="Y180" i="1" s="1"/>
  <c r="W181" i="1"/>
  <c r="Y181" i="1" s="1"/>
  <c r="W182" i="1"/>
  <c r="W175" i="1"/>
  <c r="W176" i="1"/>
  <c r="Y86" i="1"/>
  <c r="Y178" i="1" l="1"/>
  <c r="X178" i="1"/>
  <c r="Y175" i="1"/>
  <c r="X175" i="1"/>
  <c r="Y182" i="1"/>
  <c r="X182" i="1"/>
  <c r="Y177" i="1"/>
  <c r="X177" i="1"/>
  <c r="Y176" i="1"/>
  <c r="X176" i="1"/>
  <c r="E7" i="1"/>
  <c r="E38" i="6" s="1"/>
  <c r="G38" i="6" s="1"/>
  <c r="E12" i="1"/>
  <c r="E43" i="6" s="1"/>
  <c r="G43" i="6" s="1"/>
  <c r="B61" i="1" l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l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D62" i="4" l="1"/>
  <c r="D61" i="4"/>
  <c r="K60" i="4"/>
  <c r="J60" i="4"/>
  <c r="C57" i="4"/>
  <c r="C56" i="4"/>
  <c r="D49" i="4"/>
  <c r="E49" i="4" s="1"/>
  <c r="D48" i="4"/>
  <c r="K47" i="4"/>
  <c r="J47" i="4"/>
  <c r="C44" i="4"/>
  <c r="C43" i="4"/>
  <c r="W136" i="1"/>
  <c r="Y136" i="1" s="1"/>
  <c r="Z136" i="1" s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J62" i="4" l="1"/>
  <c r="Y173" i="1"/>
  <c r="X173" i="1"/>
  <c r="Y159" i="1"/>
  <c r="X159" i="1"/>
  <c r="Y160" i="1"/>
  <c r="X160" i="1"/>
  <c r="Y158" i="1"/>
  <c r="X158" i="1"/>
  <c r="Y157" i="1"/>
  <c r="X157" i="1"/>
  <c r="Y166" i="1"/>
  <c r="X166" i="1"/>
  <c r="Y163" i="1"/>
  <c r="X163" i="1"/>
  <c r="Y172" i="1"/>
  <c r="X172" i="1"/>
  <c r="Y174" i="1"/>
  <c r="X174" i="1"/>
  <c r="Y164" i="1"/>
  <c r="X164" i="1"/>
  <c r="Y165" i="1"/>
  <c r="X165" i="1"/>
  <c r="Y170" i="1"/>
  <c r="X170" i="1"/>
  <c r="Y171" i="1"/>
  <c r="X171" i="1"/>
  <c r="Y167" i="1"/>
  <c r="X167" i="1"/>
  <c r="Y162" i="1"/>
  <c r="X162" i="1"/>
  <c r="Y168" i="1"/>
  <c r="X168" i="1"/>
  <c r="Y161" i="1"/>
  <c r="G62" i="4" s="1"/>
  <c r="X161" i="1"/>
  <c r="F62" i="4" s="1"/>
  <c r="Y169" i="1"/>
  <c r="X169" i="1"/>
  <c r="J49" i="4"/>
  <c r="F49" i="4"/>
  <c r="I49" i="4" s="1"/>
  <c r="K48" i="4"/>
  <c r="G49" i="4"/>
  <c r="K61" i="4"/>
  <c r="E62" i="4"/>
  <c r="E61" i="4"/>
  <c r="J61" i="4"/>
  <c r="K62" i="4"/>
  <c r="H61" i="4"/>
  <c r="H62" i="4"/>
  <c r="J48" i="4"/>
  <c r="K49" i="4"/>
  <c r="H48" i="4"/>
  <c r="H49" i="4"/>
  <c r="X136" i="1"/>
  <c r="G61" i="4" l="1"/>
  <c r="C55" i="4" s="1"/>
  <c r="F61" i="4"/>
  <c r="I61" i="4" s="1"/>
  <c r="I62" i="4"/>
  <c r="K8" i="5"/>
  <c r="J8" i="5"/>
  <c r="C58" i="4" l="1"/>
  <c r="X119" i="1"/>
  <c r="W124" i="1" l="1"/>
  <c r="Y124" i="1" s="1"/>
  <c r="X124" i="1" l="1"/>
  <c r="X149" i="1"/>
  <c r="E4" i="1" s="1"/>
  <c r="E35" i="6" s="1"/>
  <c r="Y137" i="1" l="1"/>
  <c r="Z137" i="1" s="1"/>
  <c r="X84" i="1"/>
  <c r="W156" i="1"/>
  <c r="W155" i="1"/>
  <c r="W154" i="1"/>
  <c r="W153" i="1"/>
  <c r="Q10" i="4"/>
  <c r="R10" i="4" s="1"/>
  <c r="Q9" i="4"/>
  <c r="X8" i="4"/>
  <c r="W8" i="4"/>
  <c r="D36" i="4"/>
  <c r="F36" i="4" s="1"/>
  <c r="D35" i="4"/>
  <c r="K34" i="4"/>
  <c r="J34" i="4"/>
  <c r="D23" i="4"/>
  <c r="H23" i="4" s="1"/>
  <c r="D22" i="4"/>
  <c r="K21" i="4"/>
  <c r="J21" i="4"/>
  <c r="D10" i="4"/>
  <c r="H10" i="4" s="1"/>
  <c r="D9" i="4"/>
  <c r="K8" i="4"/>
  <c r="J8" i="4"/>
  <c r="D10" i="5"/>
  <c r="D9" i="5"/>
  <c r="W90" i="1"/>
  <c r="X90" i="1" s="1"/>
  <c r="W89" i="1"/>
  <c r="X89" i="1" s="1"/>
  <c r="W88" i="1"/>
  <c r="X88" i="1" s="1"/>
  <c r="W87" i="1"/>
  <c r="X87" i="1" s="1"/>
  <c r="G10" i="5" l="1"/>
  <c r="H10" i="5"/>
  <c r="J10" i="5"/>
  <c r="K10" i="5"/>
  <c r="J23" i="4"/>
  <c r="J36" i="4"/>
  <c r="E36" i="4"/>
  <c r="I36" i="4" s="1"/>
  <c r="S10" i="4"/>
  <c r="V10" i="4" s="1"/>
  <c r="E9" i="5"/>
  <c r="G9" i="5"/>
  <c r="F9" i="5"/>
  <c r="H9" i="5"/>
  <c r="J9" i="5"/>
  <c r="K9" i="5"/>
  <c r="X10" i="4"/>
  <c r="G10" i="4"/>
  <c r="J10" i="4"/>
  <c r="E10" i="4"/>
  <c r="K23" i="4"/>
  <c r="K36" i="4"/>
  <c r="G36" i="4"/>
  <c r="U10" i="4"/>
  <c r="K10" i="4"/>
  <c r="F10" i="4"/>
  <c r="W10" i="4"/>
  <c r="W9" i="4"/>
  <c r="X9" i="4"/>
  <c r="E48" i="4"/>
  <c r="Y155" i="1"/>
  <c r="X155" i="1"/>
  <c r="Y156" i="1"/>
  <c r="X156" i="1"/>
  <c r="Y153" i="1"/>
  <c r="X153" i="1"/>
  <c r="Y154" i="1"/>
  <c r="X154" i="1"/>
  <c r="X137" i="1"/>
  <c r="K9" i="4"/>
  <c r="K35" i="4"/>
  <c r="J22" i="4"/>
  <c r="H36" i="4"/>
  <c r="T10" i="4"/>
  <c r="K22" i="4"/>
  <c r="J9" i="4"/>
  <c r="J35" i="4"/>
  <c r="I10" i="4" l="1"/>
  <c r="F48" i="4"/>
  <c r="I48" i="4" s="1"/>
  <c r="G48" i="4"/>
  <c r="X86" i="1"/>
  <c r="C42" i="4" l="1"/>
  <c r="C45" i="4"/>
  <c r="W152" i="1"/>
  <c r="W151" i="1"/>
  <c r="W150" i="1"/>
  <c r="C31" i="4"/>
  <c r="C30" i="4"/>
  <c r="Y150" i="1" l="1"/>
  <c r="X150" i="1"/>
  <c r="Y151" i="1"/>
  <c r="X151" i="1"/>
  <c r="Y152" i="1"/>
  <c r="X152" i="1"/>
  <c r="Y149" i="1"/>
  <c r="W148" i="1"/>
  <c r="W147" i="1"/>
  <c r="W144" i="1"/>
  <c r="W143" i="1"/>
  <c r="W142" i="1"/>
  <c r="W141" i="1"/>
  <c r="X83" i="1"/>
  <c r="W63" i="1"/>
  <c r="Y63" i="1" s="1"/>
  <c r="Z63" i="1" s="1"/>
  <c r="W65" i="1"/>
  <c r="X65" i="1" s="1"/>
  <c r="Y148" i="1" l="1"/>
  <c r="X148" i="1"/>
  <c r="Y147" i="1"/>
  <c r="X147" i="1"/>
  <c r="Y142" i="1"/>
  <c r="X142" i="1"/>
  <c r="Y141" i="1"/>
  <c r="X141" i="1"/>
  <c r="Y143" i="1"/>
  <c r="Z143" i="1" s="1"/>
  <c r="X143" i="1"/>
  <c r="Y144" i="1"/>
  <c r="Z144" i="1" s="1"/>
  <c r="X144" i="1"/>
  <c r="X63" i="1"/>
  <c r="Y65" i="1"/>
  <c r="Z65" i="1" s="1"/>
  <c r="W67" i="1"/>
  <c r="X67" i="1" s="1"/>
  <c r="Y146" i="1"/>
  <c r="W145" i="1"/>
  <c r="W140" i="1"/>
  <c r="W139" i="1"/>
  <c r="W138" i="1"/>
  <c r="W135" i="1"/>
  <c r="W133" i="1"/>
  <c r="W132" i="1"/>
  <c r="W131" i="1"/>
  <c r="W130" i="1"/>
  <c r="W129" i="1"/>
  <c r="Y129" i="1" s="1"/>
  <c r="W128" i="1"/>
  <c r="W127" i="1"/>
  <c r="Y145" i="1" l="1"/>
  <c r="X145" i="1"/>
  <c r="Y131" i="1"/>
  <c r="Z131" i="1" s="1"/>
  <c r="X131" i="1"/>
  <c r="Y128" i="1"/>
  <c r="Z128" i="1" s="1"/>
  <c r="X128" i="1"/>
  <c r="Y135" i="1"/>
  <c r="X135" i="1"/>
  <c r="E5" i="1"/>
  <c r="E36" i="6" s="1"/>
  <c r="G36" i="6" s="1"/>
  <c r="E35" i="4"/>
  <c r="Y133" i="1"/>
  <c r="X133" i="1"/>
  <c r="Y140" i="1"/>
  <c r="X140" i="1"/>
  <c r="Y130" i="1"/>
  <c r="X130" i="1"/>
  <c r="Y127" i="1"/>
  <c r="Y138" i="1"/>
  <c r="X138" i="1"/>
  <c r="Y139" i="1"/>
  <c r="X139" i="1"/>
  <c r="Y132" i="1"/>
  <c r="X132" i="1"/>
  <c r="Y67" i="1"/>
  <c r="Z67" i="1" s="1"/>
  <c r="C17" i="4"/>
  <c r="H35" i="4" l="1"/>
  <c r="G35" i="4"/>
  <c r="F35" i="4"/>
  <c r="I35" i="4" s="1"/>
  <c r="C18" i="4"/>
  <c r="W126" i="1"/>
  <c r="W125" i="1"/>
  <c r="W123" i="1"/>
  <c r="X123" i="1" s="1"/>
  <c r="W122" i="1"/>
  <c r="W121" i="1"/>
  <c r="Y120" i="1"/>
  <c r="Y119" i="1"/>
  <c r="W118" i="1"/>
  <c r="W117" i="1"/>
  <c r="Y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Y106" i="1" l="1"/>
  <c r="X106" i="1"/>
  <c r="E22" i="4"/>
  <c r="R9" i="4"/>
  <c r="E23" i="4"/>
  <c r="Y123" i="1"/>
  <c r="C29" i="4"/>
  <c r="C32" i="4"/>
  <c r="Y125" i="1"/>
  <c r="X125" i="1"/>
  <c r="Y114" i="1"/>
  <c r="X114" i="1"/>
  <c r="Y121" i="1"/>
  <c r="X121" i="1"/>
  <c r="Y126" i="1"/>
  <c r="X126" i="1"/>
  <c r="Y115" i="1"/>
  <c r="X115" i="1"/>
  <c r="Y118" i="1"/>
  <c r="X118" i="1"/>
  <c r="Y122" i="1"/>
  <c r="X122" i="1"/>
  <c r="Y117" i="1"/>
  <c r="X117" i="1"/>
  <c r="Y108" i="1"/>
  <c r="X108" i="1"/>
  <c r="Y112" i="1"/>
  <c r="X112" i="1"/>
  <c r="Y109" i="1"/>
  <c r="X109" i="1"/>
  <c r="Y113" i="1"/>
  <c r="Z113" i="1" s="1"/>
  <c r="X113" i="1"/>
  <c r="Y104" i="1"/>
  <c r="X104" i="1"/>
  <c r="Y110" i="1"/>
  <c r="X110" i="1"/>
  <c r="Y107" i="1"/>
  <c r="Z107" i="1" s="1"/>
  <c r="X107" i="1"/>
  <c r="Y111" i="1"/>
  <c r="X111" i="1"/>
  <c r="Y103" i="1"/>
  <c r="X103" i="1"/>
  <c r="Y105" i="1"/>
  <c r="X105" i="1"/>
  <c r="Y102" i="1"/>
  <c r="X102" i="1"/>
  <c r="W60" i="2"/>
  <c r="E10" i="5" s="1"/>
  <c r="C5" i="4"/>
  <c r="C4" i="4"/>
  <c r="D31" i="2" l="1"/>
  <c r="X60" i="2"/>
  <c r="E37" i="2"/>
  <c r="D37" i="2"/>
  <c r="F22" i="4"/>
  <c r="I22" i="4" s="1"/>
  <c r="G23" i="4"/>
  <c r="F23" i="4"/>
  <c r="I23" i="4" s="1"/>
  <c r="G22" i="4"/>
  <c r="S9" i="4"/>
  <c r="V9" i="4" s="1"/>
  <c r="Z114" i="1"/>
  <c r="U9" i="4" s="1"/>
  <c r="T9" i="4"/>
  <c r="W101" i="1"/>
  <c r="W100" i="1"/>
  <c r="W99" i="1"/>
  <c r="W98" i="1"/>
  <c r="W97" i="1"/>
  <c r="D13" i="1" s="1"/>
  <c r="D51" i="1" s="1"/>
  <c r="D13" i="6" s="1"/>
  <c r="E31" i="2" l="1"/>
  <c r="P43" i="6" s="1"/>
  <c r="R43" i="6" s="1"/>
  <c r="F10" i="5"/>
  <c r="H22" i="4"/>
  <c r="C19" i="4" s="1"/>
  <c r="C16" i="4"/>
  <c r="Y101" i="1"/>
  <c r="X101" i="1"/>
  <c r="Y100" i="1"/>
  <c r="X100" i="1"/>
  <c r="Y98" i="1"/>
  <c r="X98" i="1"/>
  <c r="Y99" i="1"/>
  <c r="X99" i="1"/>
  <c r="Y97" i="1"/>
  <c r="X97" i="1"/>
  <c r="W60" i="1"/>
  <c r="W61" i="1"/>
  <c r="W62" i="1"/>
  <c r="W64" i="1"/>
  <c r="W66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Y83" i="1"/>
  <c r="Y84" i="1"/>
  <c r="W85" i="1"/>
  <c r="Y85" i="1" s="1"/>
  <c r="Y87" i="1"/>
  <c r="Y88" i="1"/>
  <c r="Y89" i="1"/>
  <c r="Y90" i="1"/>
  <c r="W91" i="1"/>
  <c r="W92" i="1"/>
  <c r="W93" i="1"/>
  <c r="W94" i="1"/>
  <c r="W95" i="1"/>
  <c r="W96" i="1"/>
  <c r="E17" i="1" l="1"/>
  <c r="E48" i="6" s="1"/>
  <c r="G48" i="6" s="1"/>
  <c r="E13" i="1"/>
  <c r="E6" i="1"/>
  <c r="E37" i="6" s="1"/>
  <c r="G37" i="6" s="1"/>
  <c r="E9" i="4"/>
  <c r="Y91" i="1"/>
  <c r="X91" i="1"/>
  <c r="Z85" i="1"/>
  <c r="X85" i="1"/>
  <c r="Y61" i="1"/>
  <c r="Z61" i="1" s="1"/>
  <c r="X61" i="1"/>
  <c r="Y60" i="1"/>
  <c r="Z60" i="1" s="1"/>
  <c r="X60" i="1"/>
  <c r="Y70" i="1"/>
  <c r="Z70" i="1" s="1"/>
  <c r="X70" i="1"/>
  <c r="Y79" i="1"/>
  <c r="X79" i="1"/>
  <c r="Y71" i="1"/>
  <c r="X71" i="1"/>
  <c r="Y76" i="1"/>
  <c r="Z76" i="1" s="1"/>
  <c r="X76" i="1"/>
  <c r="Y78" i="1"/>
  <c r="Z78" i="1" s="1"/>
  <c r="X78" i="1"/>
  <c r="Y80" i="1"/>
  <c r="Z80" i="1" s="1"/>
  <c r="X80" i="1"/>
  <c r="Y82" i="1"/>
  <c r="Z82" i="1" s="1"/>
  <c r="X82" i="1"/>
  <c r="Y64" i="1"/>
  <c r="X64" i="1"/>
  <c r="Y94" i="1"/>
  <c r="Z94" i="1" s="1"/>
  <c r="X94" i="1"/>
  <c r="Y92" i="1"/>
  <c r="X92" i="1"/>
  <c r="Y93" i="1"/>
  <c r="X93" i="1"/>
  <c r="Y96" i="1"/>
  <c r="X96" i="1"/>
  <c r="Y95" i="1"/>
  <c r="X95" i="1"/>
  <c r="Y77" i="1"/>
  <c r="X77" i="1"/>
  <c r="Y74" i="1"/>
  <c r="X74" i="1"/>
  <c r="Y68" i="1"/>
  <c r="X68" i="1"/>
  <c r="Y69" i="1"/>
  <c r="X69" i="1"/>
  <c r="Y75" i="1"/>
  <c r="X75" i="1"/>
  <c r="Y66" i="1"/>
  <c r="X66" i="1"/>
  <c r="Y62" i="1"/>
  <c r="X62" i="1"/>
  <c r="Y81" i="1"/>
  <c r="X81" i="1"/>
  <c r="Y73" i="1"/>
  <c r="X73" i="1"/>
  <c r="Y72" i="1"/>
  <c r="X72" i="1"/>
  <c r="E51" i="1" l="1"/>
  <c r="E13" i="6" s="1"/>
  <c r="H13" i="6" s="1"/>
  <c r="E44" i="6"/>
  <c r="G44" i="6" s="1"/>
  <c r="E55" i="1"/>
  <c r="E17" i="6" s="1"/>
  <c r="E47" i="6"/>
  <c r="G47" i="6" s="1"/>
  <c r="H13" i="1"/>
  <c r="G13" i="1"/>
  <c r="E8" i="1"/>
  <c r="E39" i="6" s="1"/>
  <c r="G39" i="6" s="1"/>
  <c r="E9" i="1"/>
  <c r="E40" i="6" s="1"/>
  <c r="G40" i="6" s="1"/>
  <c r="E11" i="1"/>
  <c r="E42" i="6" s="1"/>
  <c r="G42" i="6" s="1"/>
  <c r="E10" i="1"/>
  <c r="E41" i="6" s="1"/>
  <c r="G41" i="6" s="1"/>
  <c r="H9" i="4"/>
  <c r="G9" i="4"/>
  <c r="C3" i="4" s="1"/>
  <c r="F9" i="4"/>
  <c r="I9" i="4" s="1"/>
  <c r="H51" i="1" l="1"/>
  <c r="C6" i="4"/>
  <c r="M18" i="6" l="1"/>
  <c r="C5" i="5" l="1"/>
  <c r="C4" i="5"/>
  <c r="I9" i="5" l="1"/>
  <c r="D4" i="1" l="1"/>
  <c r="L25" i="6" l="1"/>
  <c r="L23" i="6"/>
  <c r="I42" i="1"/>
  <c r="E59" i="6" s="1"/>
  <c r="J43" i="1"/>
  <c r="F60" i="6" l="1"/>
  <c r="J50" i="2"/>
  <c r="P67" i="6" s="1"/>
  <c r="I50" i="2"/>
  <c r="O67" i="6" s="1"/>
  <c r="J49" i="2"/>
  <c r="P66" i="6" s="1"/>
  <c r="I49" i="2"/>
  <c r="O66" i="6" s="1"/>
  <c r="J48" i="2"/>
  <c r="P65" i="6" s="1"/>
  <c r="I48" i="2"/>
  <c r="O65" i="6" s="1"/>
  <c r="J47" i="2"/>
  <c r="P64" i="6" s="1"/>
  <c r="I47" i="2"/>
  <c r="O64" i="6" s="1"/>
  <c r="J46" i="2"/>
  <c r="P63" i="6" s="1"/>
  <c r="I46" i="2"/>
  <c r="O63" i="6" s="1"/>
  <c r="J45" i="2"/>
  <c r="P62" i="6" s="1"/>
  <c r="I45" i="2"/>
  <c r="O62" i="6" s="1"/>
  <c r="J44" i="2"/>
  <c r="P61" i="6" s="1"/>
  <c r="I44" i="2"/>
  <c r="O61" i="6" s="1"/>
  <c r="J43" i="2"/>
  <c r="P60" i="6" s="1"/>
  <c r="I43" i="2"/>
  <c r="O60" i="6" s="1"/>
  <c r="J42" i="2"/>
  <c r="P59" i="6" s="1"/>
  <c r="I42" i="2"/>
  <c r="O59" i="6" s="1"/>
  <c r="J50" i="1"/>
  <c r="J12" i="6" s="1"/>
  <c r="J49" i="1"/>
  <c r="J48" i="1"/>
  <c r="J10" i="6" s="1"/>
  <c r="J47" i="1"/>
  <c r="J46" i="1"/>
  <c r="J8" i="6" s="1"/>
  <c r="J45" i="1"/>
  <c r="J44" i="1"/>
  <c r="J42" i="1"/>
  <c r="F59" i="6" s="1"/>
  <c r="I43" i="1"/>
  <c r="I5" i="6" s="1"/>
  <c r="I44" i="1"/>
  <c r="I45" i="1"/>
  <c r="I7" i="6" s="1"/>
  <c r="I46" i="1"/>
  <c r="I8" i="6" s="1"/>
  <c r="I47" i="1"/>
  <c r="I9" i="6" s="1"/>
  <c r="I48" i="1"/>
  <c r="I49" i="1"/>
  <c r="I11" i="6" s="1"/>
  <c r="I50" i="1"/>
  <c r="I12" i="6" s="1"/>
  <c r="R35" i="6"/>
  <c r="J9" i="6" l="1"/>
  <c r="J7" i="6"/>
  <c r="J11" i="6"/>
  <c r="I6" i="6"/>
  <c r="J6" i="6"/>
  <c r="I10" i="6"/>
  <c r="J5" i="6"/>
  <c r="E67" i="6"/>
  <c r="E63" i="6"/>
  <c r="F64" i="6"/>
  <c r="E66" i="6"/>
  <c r="E62" i="6"/>
  <c r="F61" i="6"/>
  <c r="F65" i="6"/>
  <c r="E65" i="6"/>
  <c r="E61" i="6"/>
  <c r="F62" i="6"/>
  <c r="F66" i="6"/>
  <c r="E64" i="6"/>
  <c r="E60" i="6"/>
  <c r="F63" i="6"/>
  <c r="F67" i="6"/>
  <c r="Q35" i="6"/>
  <c r="D42" i="2"/>
  <c r="D50" i="2"/>
  <c r="J4" i="6"/>
  <c r="I4" i="6"/>
  <c r="J56" i="1"/>
  <c r="I56" i="1"/>
  <c r="J56" i="2"/>
  <c r="I56" i="2"/>
  <c r="H31" i="2"/>
  <c r="D47" i="2"/>
  <c r="G10" i="2"/>
  <c r="H23" i="2"/>
  <c r="E43" i="2"/>
  <c r="D49" i="2"/>
  <c r="G31" i="2"/>
  <c r="H6" i="2"/>
  <c r="G9" i="2"/>
  <c r="G23" i="2"/>
  <c r="G30" i="2"/>
  <c r="G28" i="2"/>
  <c r="O31" i="6"/>
  <c r="Q31" i="6" s="1"/>
  <c r="G27" i="2"/>
  <c r="D48" i="2"/>
  <c r="D43" i="2"/>
  <c r="G6" i="2"/>
  <c r="H11" i="2"/>
  <c r="D44" i="2"/>
  <c r="G11" i="2"/>
  <c r="H27" i="2"/>
  <c r="E49" i="2"/>
  <c r="H10" i="2"/>
  <c r="G24" i="2"/>
  <c r="E47" i="2"/>
  <c r="H30" i="2"/>
  <c r="D46" i="2"/>
  <c r="G5" i="2"/>
  <c r="E48" i="2"/>
  <c r="H29" i="2"/>
  <c r="G29" i="2"/>
  <c r="H8" i="2"/>
  <c r="G8" i="2"/>
  <c r="E46" i="2"/>
  <c r="H9" i="2"/>
  <c r="E44" i="2"/>
  <c r="H25" i="2"/>
  <c r="G25" i="2"/>
  <c r="H5" i="2"/>
  <c r="O30" i="6"/>
  <c r="Q30" i="6" s="1"/>
  <c r="H24" i="2"/>
  <c r="H28" i="2"/>
  <c r="E45" i="2" l="1"/>
  <c r="E42" i="2"/>
  <c r="H42" i="2" s="1"/>
  <c r="G4" i="2"/>
  <c r="H4" i="2"/>
  <c r="H12" i="2"/>
  <c r="E50" i="2"/>
  <c r="H50" i="2" s="1"/>
  <c r="G12" i="2"/>
  <c r="J18" i="6"/>
  <c r="I18" i="6"/>
  <c r="H47" i="2"/>
  <c r="H49" i="2"/>
  <c r="H37" i="2"/>
  <c r="H43" i="2"/>
  <c r="D45" i="2"/>
  <c r="D56" i="2" s="1"/>
  <c r="G18" i="2"/>
  <c r="P30" i="6"/>
  <c r="R30" i="6" s="1"/>
  <c r="G37" i="2"/>
  <c r="P31" i="6"/>
  <c r="R31" i="6" s="1"/>
  <c r="G7" i="2"/>
  <c r="H7" i="2"/>
  <c r="H18" i="2"/>
  <c r="H44" i="2"/>
  <c r="H46" i="2"/>
  <c r="H48" i="2"/>
  <c r="H26" i="2" l="1"/>
  <c r="G26" i="2"/>
  <c r="H45" i="2"/>
  <c r="E56" i="2"/>
  <c r="H56" i="2" l="1"/>
  <c r="D18" i="1"/>
  <c r="P4" i="4" l="1"/>
  <c r="P5" i="4"/>
  <c r="P3" i="4" l="1"/>
  <c r="F31" i="1" l="1"/>
  <c r="E31" i="1"/>
  <c r="F43" i="6" s="1"/>
  <c r="H43" i="6" s="1"/>
  <c r="D31" i="1"/>
  <c r="F30" i="1"/>
  <c r="E30" i="1"/>
  <c r="F42" i="6" s="1"/>
  <c r="H42" i="6" s="1"/>
  <c r="D30" i="1"/>
  <c r="F29" i="1"/>
  <c r="E29" i="1"/>
  <c r="F41" i="6" s="1"/>
  <c r="H41" i="6" s="1"/>
  <c r="D29" i="1"/>
  <c r="F28" i="1"/>
  <c r="E28" i="1"/>
  <c r="F40" i="6" s="1"/>
  <c r="H40" i="6" s="1"/>
  <c r="D28" i="1"/>
  <c r="F27" i="1"/>
  <c r="E27" i="1"/>
  <c r="F39" i="6" s="1"/>
  <c r="H39" i="6" s="1"/>
  <c r="D27" i="1"/>
  <c r="F26" i="1"/>
  <c r="F25" i="1"/>
  <c r="F17" i="1"/>
  <c r="F12" i="1"/>
  <c r="F11" i="1"/>
  <c r="D11" i="1"/>
  <c r="F10" i="1"/>
  <c r="D10" i="1"/>
  <c r="F9" i="1"/>
  <c r="D9" i="1"/>
  <c r="F8" i="1"/>
  <c r="D8" i="1"/>
  <c r="F7" i="1"/>
  <c r="H8" i="1" l="1"/>
  <c r="G10" i="1"/>
  <c r="G29" i="1"/>
  <c r="D47" i="1"/>
  <c r="D9" i="6" s="1"/>
  <c r="D46" i="1"/>
  <c r="D8" i="6" s="1"/>
  <c r="E46" i="1"/>
  <c r="E8" i="6" s="1"/>
  <c r="D49" i="1"/>
  <c r="D11" i="6" s="1"/>
  <c r="H31" i="1"/>
  <c r="H10" i="1"/>
  <c r="G11" i="1"/>
  <c r="H30" i="1"/>
  <c r="H29" i="1"/>
  <c r="D48" i="1"/>
  <c r="D10" i="6" s="1"/>
  <c r="E48" i="1"/>
  <c r="E10" i="6" s="1"/>
  <c r="H11" i="1"/>
  <c r="H28" i="1"/>
  <c r="H9" i="1"/>
  <c r="H27" i="1"/>
  <c r="G30" i="1"/>
  <c r="E47" i="1"/>
  <c r="E9" i="6" s="1"/>
  <c r="H9" i="6" s="1"/>
  <c r="E49" i="1"/>
  <c r="E11" i="6" s="1"/>
  <c r="G27" i="1"/>
  <c r="G31" i="1"/>
  <c r="G28" i="1"/>
  <c r="G8" i="1"/>
  <c r="G9" i="1"/>
  <c r="H11" i="6" l="1"/>
  <c r="H10" i="6"/>
  <c r="H8" i="6"/>
  <c r="H46" i="1"/>
  <c r="H49" i="1"/>
  <c r="H47" i="1"/>
  <c r="H48" i="1"/>
  <c r="D17" i="1" l="1"/>
  <c r="D12" i="1"/>
  <c r="D50" i="1" s="1"/>
  <c r="D12" i="6" s="1"/>
  <c r="D55" i="1" l="1"/>
  <c r="D17" i="6" s="1"/>
  <c r="H17" i="6" s="1"/>
  <c r="H12" i="1"/>
  <c r="G12" i="1"/>
  <c r="E50" i="1"/>
  <c r="E12" i="6" s="1"/>
  <c r="H12" i="6" s="1"/>
  <c r="H17" i="1"/>
  <c r="G17" i="1"/>
  <c r="D23" i="6"/>
  <c r="M17" i="2" s="1"/>
  <c r="H55" i="1" l="1"/>
  <c r="B26" i="6"/>
  <c r="F18" i="6" s="1"/>
  <c r="M17" i="1"/>
  <c r="H50" i="1"/>
  <c r="N23" i="6"/>
  <c r="B24" i="6"/>
  <c r="K18" i="2" s="1"/>
  <c r="F13" i="6" l="1"/>
  <c r="G13" i="6" s="1"/>
  <c r="F5" i="6"/>
  <c r="F14" i="6"/>
  <c r="G14" i="6" s="1"/>
  <c r="F6" i="6"/>
  <c r="F15" i="6"/>
  <c r="G15" i="6" s="1"/>
  <c r="F11" i="6"/>
  <c r="G11" i="6" s="1"/>
  <c r="F7" i="6"/>
  <c r="F16" i="6"/>
  <c r="G16" i="6" s="1"/>
  <c r="F12" i="6"/>
  <c r="G12" i="6" s="1"/>
  <c r="F8" i="6"/>
  <c r="G8" i="6" s="1"/>
  <c r="F17" i="6"/>
  <c r="G17" i="6" s="1"/>
  <c r="F9" i="6"/>
  <c r="G9" i="6" s="1"/>
  <c r="F10" i="6"/>
  <c r="G10" i="6" s="1"/>
  <c r="K20" i="2"/>
  <c r="F51" i="2" s="1"/>
  <c r="G51" i="2" s="1"/>
  <c r="K20" i="1"/>
  <c r="K18" i="6"/>
  <c r="F4" i="6"/>
  <c r="L24" i="6"/>
  <c r="K18" i="1"/>
  <c r="L26" i="6"/>
  <c r="F43" i="2" l="1"/>
  <c r="G43" i="2" s="1"/>
  <c r="F49" i="2"/>
  <c r="G49" i="2" s="1"/>
  <c r="F53" i="2"/>
  <c r="G53" i="2" s="1"/>
  <c r="F47" i="2"/>
  <c r="G47" i="2" s="1"/>
  <c r="F55" i="2"/>
  <c r="G55" i="2" s="1"/>
  <c r="F46" i="2"/>
  <c r="G46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2"/>
  <c r="G56" i="2" s="1"/>
  <c r="F55" i="1"/>
  <c r="G55" i="1" s="1"/>
  <c r="F51" i="1"/>
  <c r="G51" i="1" s="1"/>
  <c r="F52" i="1"/>
  <c r="G52" i="1" s="1"/>
  <c r="F53" i="1"/>
  <c r="G53" i="1" s="1"/>
  <c r="F54" i="1"/>
  <c r="G54" i="1" s="1"/>
  <c r="F56" i="1"/>
  <c r="F48" i="1"/>
  <c r="G48" i="1" s="1"/>
  <c r="F42" i="1"/>
  <c r="F46" i="1"/>
  <c r="G46" i="1" s="1"/>
  <c r="F44" i="1"/>
  <c r="F43" i="1"/>
  <c r="F50" i="1"/>
  <c r="G50" i="1" s="1"/>
  <c r="F47" i="1"/>
  <c r="G47" i="1" s="1"/>
  <c r="F45" i="1"/>
  <c r="F49" i="1"/>
  <c r="G49" i="1" s="1"/>
  <c r="F18" i="1" l="1"/>
  <c r="F6" i="1"/>
  <c r="F5" i="1"/>
  <c r="F4" i="1"/>
  <c r="F23" i="1"/>
  <c r="D7" i="1" l="1"/>
  <c r="E25" i="1"/>
  <c r="F37" i="6" s="1"/>
  <c r="H37" i="6" s="1"/>
  <c r="D25" i="1"/>
  <c r="D26" i="1"/>
  <c r="D5" i="1"/>
  <c r="D6" i="1"/>
  <c r="E30" i="6"/>
  <c r="E37" i="1"/>
  <c r="F31" i="6" s="1"/>
  <c r="D24" i="1"/>
  <c r="F24" i="1"/>
  <c r="F37" i="1"/>
  <c r="E18" i="1"/>
  <c r="F30" i="6" s="1"/>
  <c r="D23" i="1"/>
  <c r="D37" i="1"/>
  <c r="E31" i="6" s="1"/>
  <c r="G35" i="6" l="1"/>
  <c r="G31" i="6"/>
  <c r="G30" i="6"/>
  <c r="D45" i="1"/>
  <c r="D7" i="6" s="1"/>
  <c r="E44" i="1"/>
  <c r="E6" i="6" s="1"/>
  <c r="G6" i="6" s="1"/>
  <c r="G25" i="1"/>
  <c r="E26" i="1"/>
  <c r="F38" i="6" s="1"/>
  <c r="H38" i="6" s="1"/>
  <c r="H7" i="1"/>
  <c r="G7" i="1"/>
  <c r="H25" i="1"/>
  <c r="D44" i="1"/>
  <c r="D6" i="6" s="1"/>
  <c r="G5" i="1"/>
  <c r="E23" i="1"/>
  <c r="F35" i="6" s="1"/>
  <c r="D43" i="1"/>
  <c r="D5" i="6" s="1"/>
  <c r="D42" i="1"/>
  <c r="D4" i="6" s="1"/>
  <c r="H37" i="1"/>
  <c r="G37" i="1"/>
  <c r="E24" i="1"/>
  <c r="F36" i="6" s="1"/>
  <c r="H36" i="6" s="1"/>
  <c r="G4" i="1"/>
  <c r="H4" i="1"/>
  <c r="H5" i="1"/>
  <c r="G18" i="1"/>
  <c r="H18" i="1"/>
  <c r="G6" i="1"/>
  <c r="H6" i="1"/>
  <c r="H6" i="6" l="1"/>
  <c r="E42" i="1"/>
  <c r="E4" i="6" s="1"/>
  <c r="D18" i="6"/>
  <c r="G44" i="1"/>
  <c r="H35" i="6"/>
  <c r="H30" i="6"/>
  <c r="H31" i="6"/>
  <c r="H44" i="1"/>
  <c r="H26" i="1"/>
  <c r="E45" i="1"/>
  <c r="E7" i="6" s="1"/>
  <c r="G7" i="6" s="1"/>
  <c r="G26" i="1"/>
  <c r="H23" i="1"/>
  <c r="G23" i="1"/>
  <c r="D56" i="1"/>
  <c r="H24" i="1"/>
  <c r="E43" i="1"/>
  <c r="E5" i="6" s="1"/>
  <c r="G24" i="1"/>
  <c r="H5" i="6" l="1"/>
  <c r="G5" i="6"/>
  <c r="H7" i="6"/>
  <c r="E56" i="1"/>
  <c r="H56" i="1" s="1"/>
  <c r="H42" i="1"/>
  <c r="H43" i="1"/>
  <c r="H45" i="1"/>
  <c r="G45" i="1"/>
  <c r="H4" i="6" l="1"/>
  <c r="E18" i="6"/>
  <c r="L18" i="6" s="1"/>
  <c r="N18" i="6" s="1"/>
  <c r="G4" i="6"/>
  <c r="K17" i="6" s="1"/>
  <c r="G43" i="1"/>
  <c r="G56" i="1"/>
  <c r="G42" i="1"/>
  <c r="K10" i="6" l="1"/>
  <c r="K6" i="6"/>
  <c r="K16" i="6"/>
  <c r="K9" i="6"/>
  <c r="K15" i="6"/>
  <c r="K13" i="6"/>
  <c r="K7" i="6"/>
  <c r="K14" i="6"/>
  <c r="K5" i="6"/>
  <c r="K8" i="6"/>
  <c r="K12" i="6"/>
  <c r="K11" i="6"/>
  <c r="K4" i="6"/>
  <c r="G18" i="6"/>
  <c r="H18" i="6"/>
  <c r="I10" i="5"/>
  <c r="C6" i="5"/>
  <c r="C3" i="5"/>
</calcChain>
</file>

<file path=xl/comments1.xml><?xml version="1.0" encoding="utf-8"?>
<comments xmlns="http://schemas.openxmlformats.org/spreadsheetml/2006/main">
  <authors>
    <author>EXTERNAL Nguyen Trung Hieu (Ban Vien, RBVH/EPS45)</author>
  </authors>
  <commentList>
    <comment ref="N98" authorId="0" guid="{B1B717E1-1EAB-4E84-A95F-306E81135785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=&gt; Fixed
</t>
        </r>
      </text>
    </comment>
    <comment ref="E127" authorId="0" guid="{EC79E2A2-E381-4059-865C-F79E4E157D28}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Please comment follow ASPICE Standard 
</t>
        </r>
      </text>
    </comment>
  </commentList>
</comments>
</file>

<file path=xl/sharedStrings.xml><?xml version="1.0" encoding="utf-8"?>
<sst xmlns="http://schemas.openxmlformats.org/spreadsheetml/2006/main" count="6447" uniqueCount="865">
  <si>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</si>
  <si>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</si>
  <si>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</si>
  <si>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</si>
  <si>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</si>
  <si>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</si>
  <si>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</si>
  <si>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</si>
  <si>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</si>
  <si>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</si>
  <si>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</si>
  <si>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</si>
  <si>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</si>
  <si>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</si>
  <si>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</si>
  <si>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</si>
  <si>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</si>
  <si>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</si>
  <si>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</si>
  <si>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</si>
  <si>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</si>
  <si>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</si>
  <si>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</si>
  <si>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</si>
  <si>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</si>
  <si>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</si>
  <si>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</si>
  <si>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</si>
  <si>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</si>
  <si>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</si>
  <si>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</si>
  <si>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</si>
  <si>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</si>
  <si>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</si>
  <si>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</si>
  <si>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</si>
  <si>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</si>
  <si>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</si>
  <si>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</si>
  <si>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</si>
  <si>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</si>
  <si>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</si>
  <si>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</si>
  <si>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</si>
  <si>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</si>
  <si>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</si>
  <si>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</si>
  <si>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</si>
  <si>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</si>
  <si>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</si>
  <si>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</si>
  <si>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</si>
  <si>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</si>
  <si>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</si>
  <si>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</si>
  <si>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</si>
  <si>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</si>
  <si>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</si>
  <si>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</si>
  <si>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</si>
  <si>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</si>
  <si>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</si>
  <si>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</si>
  <si>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</si>
  <si>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</si>
  <si>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</si>
  <si>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</si>
  <si>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</si>
  <si>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</si>
  <si>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</si>
  <si>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</si>
  <si>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</si>
  <si>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</si>
  <si>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</si>
  <si>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</si>
  <si>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</si>
  <si>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</si>
  <si>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</si>
  <si>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</si>
  <si>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</si>
  <si>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</si>
  <si>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</si>
  <si>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</si>
  <si>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</si>
  <si>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</si>
  <si>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</si>
  <si>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</si>
  <si>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</si>
  <si>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</si>
  <si>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</si>
  <si>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</si>
  <si>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</si>
  <si>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</si>
  <si>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</si>
  <si>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</si>
  <si>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</si>
  <si>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</si>
  <si>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</si>
  <si>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</si>
  <si>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</si>
  <si>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</si>
  <si>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</si>
  <si>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</si>
  <si>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</si>
  <si>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</si>
  <si>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</si>
  <si>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</si>
  <si>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</si>
  <si>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</si>
  <si>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</si>
  <si>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</si>
  <si>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</si>
  <si>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</si>
  <si>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</si>
  <si>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</si>
  <si>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</si>
  <si>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</si>
  <si>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</si>
  <si>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</si>
  <si>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</si>
  <si>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</si>
  <si>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</si>
  <si>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</si>
  <si>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</si>
  <si>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</si>
  <si>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</si>
  <si>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</si>
  <si>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12h00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</si>
  <si>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</si>
  <si>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</si>
  <si>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</si>
  <si>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</si>
  <si>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</si>
  <si>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</si>
  <si>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</si>
  <si>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</si>
  <si>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</si>
  <si>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</si>
  <si>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</si>
  <si>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</si>
  <si>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</si>
  <si>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</si>
  <si>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</si>
  <si>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</si>
  <si>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</si>
  <si>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</si>
  <si>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</si>
  <si>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Auto</t>
  </si>
  <si>
    <t>Baseline</t>
  </si>
  <si>
    <t>Type of OPL/Defect</t>
  </si>
  <si>
    <t>Defect</t>
  </si>
  <si>
    <t>None</t>
  </si>
  <si>
    <t>10h00</t>
  </si>
  <si>
    <t>MA Python (CC-AS/EVA-SW31-CN)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</si>
  <si>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</si>
  <si>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</si>
  <si>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</si>
  <si>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</si>
  <si>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</si>
  <si>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</si>
  <si>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</si>
  <si>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RBVAR_SystemStateManagement_PROJECT.c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</si>
  <si>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</si>
  <si>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</si>
  <si>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</si>
  <si>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</si>
  <si>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</si>
  <si>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</si>
  <si>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</si>
  <si>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</si>
  <si>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</si>
  <si>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</si>
  <si>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rb.as.core.app.asw.ldm.lfc</t>
  </si>
  <si>
    <t>1st May</t>
  </si>
  <si>
    <t>BB80912</t>
  </si>
  <si>
    <t>BYD_ESP93_Int</t>
  </si>
  <si>
    <t>Team size</t>
  </si>
  <si>
    <t>OK</t>
  </si>
  <si>
    <t>NG</t>
  </si>
  <si>
    <t>Team:</t>
  </si>
  <si>
    <t>BAO Eric (CC-AS/EVA-SW32-CN)</t>
  </si>
  <si>
    <t>BB81377</t>
  </si>
  <si>
    <t>SGMW_ESP93_Carbon_Int</t>
  </si>
  <si>
    <t>NET_SCL_Rx_SGMW_RemoteControl.c</t>
  </si>
  <si>
    <t>RBNET_ESPiB_Monitoring.c</t>
  </si>
  <si>
    <t>Manual</t>
  </si>
  <si>
    <t>CubasAdapter.c</t>
  </si>
  <si>
    <t>rba_Bldr_main.c</t>
  </si>
  <si>
    <t>rba_BldrFlsDrv_Cfg.c</t>
  </si>
  <si>
    <t>rba_Bmgr_main.c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</si>
  <si>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</si>
  <si>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</si>
  <si>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</si>
  <si>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</si>
  <si>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</si>
  <si>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No function to test</t>
  </si>
  <si>
    <t>CNMS_ESP_Carbon_Int</t>
  </si>
  <si>
    <t>BYD_ESP93_Int\MainstreamF30\rb\as\BYD\Mainstream151\app\dsm\RBVAR\src\RBVAR_VarCode_PROJECT.c</t>
  </si>
  <si>
    <t>RBAPLCUST_RBDI_NVMData.c</t>
  </si>
  <si>
    <t>RBAPLCUST_WDBI_NVMData.c</t>
  </si>
  <si>
    <t>NET_CheckSumLib_CNMS.c</t>
  </si>
  <si>
    <t>NET_MonitoringClasses_F30.c</t>
  </si>
  <si>
    <t>RBPduHandler_Callouts.c</t>
  </si>
  <si>
    <t>Thangamani Shanmugam (RBEI/EBB7)</t>
  </si>
  <si>
    <t>ZHANG Guorong (CC-AS/EVA-SW32-CN)</t>
  </si>
  <si>
    <t>Geely_Beryllium2_Int</t>
  </si>
  <si>
    <t>TOY_847B_MPT_Release1</t>
  </si>
  <si>
    <t>EXTERNAL Do Anh Huy (Ban Vien, RBVH/EPS45)</t>
  </si>
  <si>
    <t>RBA_NDS_SystemInfo.c</t>
  </si>
  <si>
    <t>SAS_LWS_Standard.c</t>
  </si>
  <si>
    <t>CAI Tantan (CC-AS/EVA-SW31-CN)</t>
  </si>
  <si>
    <t>rba_SCL_Settings.c</t>
  </si>
  <si>
    <t>KPI\days</t>
  </si>
  <si>
    <t>HONDA_CMP_BL11sp02_snapshot05</t>
  </si>
  <si>
    <t>Delta &gt; New</t>
  </si>
  <si>
    <t>Contact point: Iwase Megumi (CC-AS/ESJ2-JP) ; EXTERNAL Motoyoshi Kazuyuki (VSN, CC-AS/ESJ2-JP)</t>
  </si>
  <si>
    <t>11h00</t>
  </si>
  <si>
    <t>RBAPLCUST_DiagnosticSessionControl.c</t>
  </si>
  <si>
    <t>RBA_NDS_YAWRATE_Callout.c</t>
  </si>
  <si>
    <t>BJEV_N60_2WD_4WD</t>
  </si>
  <si>
    <t>BL73_SP02</t>
  </si>
  <si>
    <t>rba_BldrBCLSigChk.c</t>
  </si>
  <si>
    <t>rba_BldrFlsDrv.c</t>
  </si>
  <si>
    <t>BAIC_MainPath_HevX_Int</t>
  </si>
  <si>
    <t>CSMosarASWMainstream93_Honda</t>
  </si>
  <si>
    <t>RBAPLCUST_VariandCode.c</t>
  </si>
  <si>
    <t>RBHMI_ConfigOutputDriver_PRJ.c</t>
  </si>
  <si>
    <t>RBHMI_ExtStateCalculation_PRJ.c</t>
  </si>
  <si>
    <t>RBAPLCUST_RDBI_IOCtrlState.c</t>
  </si>
  <si>
    <t>ComScl_Scl_Complex_proc.c</t>
  </si>
  <si>
    <t>NET_Monitoring.c</t>
  </si>
  <si>
    <t>GWM_AB30_CP_Int</t>
  </si>
  <si>
    <t>LI Chengcheng (CC-AS/EVA-SW33-CN)</t>
  </si>
  <si>
    <t>BYD_IPB_BL05_Int</t>
  </si>
  <si>
    <t>GUO Sasa (CC-AS/EVA-SW3-CN)</t>
  </si>
  <si>
    <t>21,22-May</t>
  </si>
  <si>
    <t>NET_AliveCounterLib_BAIC.c</t>
  </si>
  <si>
    <t>RBA_NDS_CIM_0x310_Callout.c</t>
  </si>
  <si>
    <t>RBA_NDS_EPS_0x1C2_Callout.c</t>
  </si>
  <si>
    <t>RBA_NDS_EPS_0x217_Callout.c</t>
  </si>
  <si>
    <t>RBA_NDS_EPS_0x242_Callout.c</t>
  </si>
  <si>
    <t>RBA_NDS_EPS_0x246_Callout.c</t>
  </si>
  <si>
    <t>RBA_NDS_EPS_0x261_Callout.c</t>
  </si>
  <si>
    <t>RBA_NDS_EPS_0x318_Callout.c</t>
  </si>
  <si>
    <t>RBA_NDS_ESP_0x1B8_Callout.c</t>
  </si>
  <si>
    <t>RBA_NDS_ESP_0x264_Callout.c</t>
  </si>
  <si>
    <t>RBA_NDS_ESP_0x266_Callout.c</t>
  </si>
  <si>
    <t>RBA_NDS_ESP_0x332_Callout.c</t>
  </si>
  <si>
    <t>RBA_NDS_ESP_0x658_Callout.c</t>
  </si>
  <si>
    <t>RBA_NDS_ESP_Common_Callout.c</t>
  </si>
  <si>
    <t>RBA_NDS_MCU_F_0x150_Callout.c</t>
  </si>
  <si>
    <t>RBA_NDS_PAS_0x1BC_Callout.c</t>
  </si>
  <si>
    <t>RBA_NDS_VCU_0x102_Callout.c</t>
  </si>
  <si>
    <t>RBA_NDS_VCU_0x226_Callout.c</t>
  </si>
  <si>
    <t>RBA_NDS_VCU_0x245_Callout.c</t>
  </si>
  <si>
    <t>RBSEC_Sec.c</t>
  </si>
  <si>
    <t>RBVAR_StateMachine_CustomerProject.c</t>
  </si>
  <si>
    <t>Dem_PrjSpecificIndiHandling.c</t>
  </si>
  <si>
    <t>RBHMI_LDMLamp_FAW.c</t>
  </si>
  <si>
    <t>RBAPLCUST_RBDI_SWVersionNumber.c</t>
  </si>
  <si>
    <t>RBAPLCUST_RoutineControl_ConditionCheck.c</t>
  </si>
  <si>
    <t>RBAPLCUST_SpeedLimitForServices_BAIC_ESP.c</t>
  </si>
  <si>
    <t>RBAPLCUST_SnapshotChecksumAlivecounter_ESP.c</t>
  </si>
  <si>
    <t>HU Evan (CC-AS/EVA-SW33-CN)</t>
  </si>
  <si>
    <t>SUN Nan (CC-AS/EVA-SW1-CN)</t>
  </si>
  <si>
    <t>ZHU Anlin (CC-AS/EVA-SW2-CN)</t>
  </si>
  <si>
    <t>LIANG Xin (CC-AS/EVA-SW33-CN)</t>
  </si>
  <si>
    <t>BB98378</t>
  </si>
  <si>
    <t>GEELY_FS11_ESP9.3HD_BSS05_SP05</t>
  </si>
  <si>
    <t>SGMW CN202M 208T CPi ACC 242139 BB81871</t>
  </si>
  <si>
    <t>NET_SCL_Rx_SGMW.c</t>
  </si>
  <si>
    <t>NET_SCL_Tx_SGMW.c</t>
  </si>
  <si>
    <t>MIAO Huafeng (CC-AS/EVA-SW32-CN)</t>
  </si>
  <si>
    <t>To Trong Khoa (RBVH/EAS11)</t>
  </si>
  <si>
    <t>BB98153 &amp; BB97958 &amp; BB80790 &amp; BB80795</t>
  </si>
  <si>
    <t>BB81871</t>
  </si>
  <si>
    <t>Geely_ESP93_Carbon_Int</t>
  </si>
  <si>
    <t>SGMW_ESP93_Mainstream_Int</t>
  </si>
  <si>
    <t>Wrong databasse =&gt; Fixed</t>
  </si>
  <si>
    <t>Geely_ESP93_Carbon_Int\MainstreamF30\rb\as\geely\CpiwAPB\app\dsm\RBHMI\src\RBHMI_Synchronisation_F30.C</t>
  </si>
  <si>
    <t>SGMW_ESP93_Mainstream_Int\MainstreamF30\rb\as\sgmw\CN210S\app\net\RBScl\RBScl_SGMW\src\NET_SCL_Rx_SGMW.c</t>
  </si>
  <si>
    <t>SGMW_ESP93_Mainstream_Int\MainstreamF30\rb\as\sgmw\CN210S\app\net\RBScl\RBScl_SGMW\src\NET_SCL_Tx_SGMW.c</t>
  </si>
  <si>
    <t>SGMW_ESP93_Mainstream_Int\MainstreamF30\rb\as\sgmw\core\app\dcom\RBAPLCust\src\RBAPLCUST_DiagnosticSessionControl.c</t>
  </si>
  <si>
    <t>SGMW_ESP93_Mainstream_Int\MainstreamF30\rb\as\sgmw\core\app\dcom\RBAPLCust\src\RBAPLCUST_RBDI_NVMData.c</t>
  </si>
  <si>
    <t>LFC_Exe</t>
  </si>
  <si>
    <t>4.10.131.0</t>
  </si>
  <si>
    <t>MT_208</t>
  </si>
  <si>
    <t>FAW_TypeC2_BSL33_Security</t>
  </si>
  <si>
    <t>RBAPLCUST_InputOutputControl_GeneralFunctions.c</t>
  </si>
  <si>
    <t>RBAPLCUST_RoutineControl_WheelSpeedSensorTest.c</t>
  </si>
  <si>
    <t>NET_SCL_Rx_EngineTorque.c</t>
  </si>
  <si>
    <t>NET_SCL_Rx_Yrs.c</t>
  </si>
  <si>
    <t>NET_SCL_Tx_AxelSplit.c</t>
  </si>
  <si>
    <t>NET_SCL_Tx_AxelSplit_Torque.c</t>
  </si>
  <si>
    <t>NET_SCL_Tx_VehicleSpeed.c</t>
  </si>
  <si>
    <t>RBA_NDS_TCUAvaliable_Callout.c</t>
  </si>
  <si>
    <t>RBA_NDS_TOD_Callout.c</t>
  </si>
  <si>
    <t>NET_SCL_Tx_SystemInfo.c</t>
  </si>
  <si>
    <t>EBC_RequestMode</t>
  </si>
  <si>
    <t>CDD_AxTarLim</t>
  </si>
  <si>
    <t>RDA_CustDegradationAvlDeter</t>
  </si>
  <si>
    <t>BSS05_SP05</t>
  </si>
  <si>
    <t>FAW_MainPath_V2.0_Int</t>
  </si>
  <si>
    <t>BB99856, BB99857</t>
  </si>
  <si>
    <t>BB98378, BB98379</t>
  </si>
  <si>
    <t>ESP93hevXEncapSWCust_ECU_CSW_BB97468.axl</t>
  </si>
  <si>
    <t>CDDiBooster_ECU_CSW_BB00001.axl</t>
  </si>
  <si>
    <t>RPAESPHevXEncapSWCust_ECU_CSW_BB99704.axl</t>
  </si>
  <si>
    <t>1.2.146310.0</t>
  </si>
  <si>
    <t>BL07</t>
  </si>
  <si>
    <t>LIU Felix (CC-AS/EVA-SW33-CN)</t>
  </si>
  <si>
    <t>CHENG Jie (CC-AS/EVA-SW1-CN)</t>
  </si>
  <si>
    <t>ZHONG Yan (CC-AS/EVA-SW2-CN)</t>
  </si>
  <si>
    <t>Have already confirm by owner at the previous phase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</si>
  <si>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</t>
  </si>
  <si>
    <t>BAIC_MainPath_HevX_Int\BAICHevX\rb\as\baic\baic_core\app\net\RBScl\src</t>
  </si>
  <si>
    <t>BAIC_MainPath_HevX_Int\BAICHevX\rb\as\baic\baic_core\app\net\RbNetPrj\RBNet_Can\src</t>
  </si>
  <si>
    <t>BAIC_MainPath_HevX_Int\BAICHevX\rb\as\baic\prj\dsmpr\src</t>
  </si>
  <si>
    <t>BAIC_MainPath_HevX_Int\BAICHevX\rb\as\cnms_core\app\net\scl_callout\src</t>
  </si>
  <si>
    <t>BAIC_MainPath_HevX_Int\BAICHevX\rb\as\core\app\sec\security\src</t>
  </si>
  <si>
    <t>BAIC_MainPath_HevX_Int\BAICHevX\rb\as\baic\baic_core\app\dsm\RBVAR\src</t>
  </si>
  <si>
    <t>BAIC_MainPath_HevX_Int\BAICHevX\rb\as\baic\baic_core\app\dsm\RBHMI\src</t>
  </si>
  <si>
    <t>BAIC_MainPath_HevX_Int\BAICHevX\rb\as\baic\baic_core\app\dsm\RBWarningIndicator\src</t>
  </si>
  <si>
    <t>BAIC_MainPath_HevX_Int\BAICHevX\rb\as\baic\prj\dsmpr\src\RBHMI\src</t>
  </si>
  <si>
    <t>BAIC_MainPath_HevX_Int\BAICHevX\rb\as\baic\prj\dsmpr\cfg\Diamant_Cfg\BB97468\Project_Overwritten\src</t>
  </si>
  <si>
    <t>BAIC_MainPath_HevX_Int\BAICHevX\rb\as\baic\baic_core\app\dcom\RBAPLCust\src\common</t>
  </si>
  <si>
    <t>BAIC_MainPath_HevX_Int\BAICHevX\rb\as\baic\baic_core\app\dcom\RBAPLCust\src\ESP</t>
  </si>
  <si>
    <t>BAIC_MainPath_HevX_Int\BAICHevX\rb\as\cnms_core\app\dcom\RBAPLCust\src\common</t>
  </si>
  <si>
    <t>BAIC_MainPath_HevX_Int\BAICHevX\rb\as\cnms_core\app\net\scl\Controllers\Engine\src</t>
  </si>
  <si>
    <t>BAIC_MainPath_HevX_Int\BAICHevX\rb\as\cnms_core\app\net\scl\Sensors\AxAyYrs\src</t>
  </si>
  <si>
    <t>BAIC_MainPath_HevX_Int\BAICHevX\rb\as\cnms_core\app\net\scl\Controllers\AxelSplit\src</t>
  </si>
  <si>
    <t>BAIC_MainPath_HevX_Int\BAICHevX\rb\as\cnms_core\app\net\scl\Controllers\VehicleSpeed\src</t>
  </si>
  <si>
    <t>BAIC_MainPath_HevX_Int\BAICHevX\rb\as\cnms_core\app\net\scl\Controllers\SystemInfo\src</t>
  </si>
  <si>
    <t>FAW_MainPath_V2.0_Int\MainstreamF30\rba\Bldr\bmgr\src</t>
  </si>
  <si>
    <t>FAW_MainPath_V2.0_Int\MainstreamF30\rba\Bldr\bldr\src</t>
  </si>
  <si>
    <t>FAW_MainPath_V2.0_Int\MainstreamF30\rba\Bldr\config\ApplicationLayer\rba_BldrCmp\src</t>
  </si>
  <si>
    <t>FAW_MainPath_V2.0_Int\MainstreamF30\rba\Bldr\comps\ComplexDeviceDriver\rba_BldrFlsDrv\src</t>
  </si>
  <si>
    <t>FAW_MainPath_V2.0_Int\MainstreamF30\rba\Bldr\comps\ComplexDeviceDriver\rba_BldrBCLSigChk\src</t>
  </si>
  <si>
    <t>FAW_MainPath_V2.0_Int\MainstreamF30\rba\Bldr\config\Infrastruct\CubasAdapter\src</t>
  </si>
  <si>
    <t>- Release in advance for phase 1 on 18-May-2020</t>
  </si>
  <si>
    <t>- Phase 2 assign from 19-May-2020</t>
  </si>
  <si>
    <t>CNMS_179148_Carbon_ESP_BL07_SPRINT12</t>
  </si>
  <si>
    <t>ComScl_Scl_OBD_Signal_Copy.c</t>
  </si>
  <si>
    <t>NET_SCL_Tx_AxExport.c</t>
  </si>
  <si>
    <t>NET_SCL_Tx_AyExport.c</t>
  </si>
  <si>
    <t>NET_SCL_Tx_YrsExport.c</t>
  </si>
  <si>
    <t>RBA_NDS_ATS_Callout.c</t>
  </si>
  <si>
    <t>RBA_NDS_Engine_Callout.c</t>
  </si>
  <si>
    <t>RBA_NDS_WheelOdoEdges_Callout.c</t>
  </si>
  <si>
    <t>RBA_NDS_WSS_FailureInfo_Callout.c</t>
  </si>
  <si>
    <t>SAS_Functions.c</t>
  </si>
  <si>
    <t xml:space="preserve">RBAPLCUST_InputOutputControl.c </t>
  </si>
  <si>
    <t xml:space="preserve">RBAPLCUST_RDBI_IOCtrlState.c </t>
  </si>
  <si>
    <t>BL07_SPRINT12</t>
  </si>
  <si>
    <t xml:space="preserve">Please comment follow ASPICE Standard </t>
  </si>
  <si>
    <t>YE Tianyu (CC-AS/ESW2-CN)</t>
  </si>
  <si>
    <t>Can't cover for case case 0UL, case 1UL, case 2UL and case default of switch ( temp ) at line#98. Because RBA_BLDRCMP_SA_SECURITY_CONSTANT is a constant, so temp is a constant.
Can’t cover for true case of  if ((RBA_BLDRCMP_SA_SECURITY_CONSTANT &amp; 0x00000001UL) == 1UL) at line#134.</t>
  </si>
  <si>
    <t>Can’t cover for function rba_BldrFlsDrv_Cfg_Write atline#73 because address of pointer canCore_pvst is fixed (limit cantata, can’t set the fixed address).</t>
  </si>
  <si>
    <t>CNMS_203173_Carbon_HevX_BL03_SP08</t>
  </si>
  <si>
    <t>RBAPLCUST_PreConditionsMode04.c</t>
  </si>
  <si>
    <t>RBAPLOBD_Mode04.c</t>
  </si>
  <si>
    <t>BL03_SP08</t>
  </si>
  <si>
    <t>CNMS_ESPHevX_Carbon_Int</t>
  </si>
  <si>
    <t>HUANG Kaibing (CC-AS/ESW2-CN)</t>
  </si>
  <si>
    <t>WANG Bei (CC-AS/ESW3-CN)</t>
  </si>
  <si>
    <t>-Can't cover for false condition</t>
  </si>
  <si>
    <t>1. From line #54 to line #69 I just cover once because can’t cover endless loop.</t>
  </si>
  <si>
    <t>GEELY_BX11_ESPHEVX_BL06_SP02</t>
  </si>
  <si>
    <t>MC_239507_SGMW_CN210S_PHEV_ESP9.3Cpi</t>
  </si>
  <si>
    <t>BL06_SP02</t>
  </si>
  <si>
    <t>BL03-Sp01</t>
  </si>
  <si>
    <t>GeelyNL5P_ESPHevX_Int</t>
  </si>
  <si>
    <t>-Can't cover for else condition</t>
  </si>
  <si>
    <t>Param1D C0,C1,MCDC not 100%.</t>
  </si>
  <si>
    <t>CNMS_ESP_Carbon_Int\MainstreamF30\rb\as\cnms_core\app\net\scl\src\OBD\ComScl_Scl_OBD_Signal_Copy.c</t>
  </si>
  <si>
    <t>CNMS_ESP_Carbon_Int\MainstreamF30\rb\as\cnms_core\app\net\scl\src\AxAyYrs\NET_SCL_Rx_Yrs.c</t>
  </si>
  <si>
    <t>CNMS_ESP_Carbon_Int\MainstreamF30\rb\as\cnms_core\app\net\scl\src\AxAyYrs\NET_SCL_Tx_AxExport.c</t>
  </si>
  <si>
    <t>CNMS_ESP_Carbon_Int\MainstreamF30\rb\as\cnms_core\app\net\scl\src\AxAyYrs\NET_SCL_Tx_AyExport.c</t>
  </si>
  <si>
    <t>CNMS_ESP_Carbon_Int\MainstreamF30\rb\as\cnms_core\app\net\scl\src\AxAyYrs\NET_SCL_Tx_YrsExport.c</t>
  </si>
  <si>
    <t>CNMS_ESP_Carbon_Int\MainstreamF30\rb\as\cnms_core\app\net\scl\src\Callout_Functions\RBA_NDS_ATS_Callout.c</t>
  </si>
  <si>
    <t>CNMS_ESP_Carbon_Int\MainstreamF30\rb\as\cnms_core\app\net\scl\src\Callout_Functions\RBA_NDS_Engine_Callout.c</t>
  </si>
  <si>
    <t>CNMS_ESP_Carbon_Int\MainstreamF30\rb\as\cnms_core\app\net\scl\src\Callout_Functions\RBA_NDS_SystemInfo.c</t>
  </si>
  <si>
    <t>CNMS_ESP_Carbon_Int\MainstreamF30\rb\as\cnms_core\app\net\scl\src\Callout_Functions\RBA_NDS_TOD_Callout.c</t>
  </si>
  <si>
    <t>CNMS_ESP_Carbon_Int\MainstreamF30\rb\as\cnms_core\app\net\scl\src\Callout_Functions\RBA_NDS_WheelOdoEdges_Callout.c</t>
  </si>
  <si>
    <t>CNMS_ESP_Carbon_Int\MainstreamF30\rb\as\cnms_core\app\net\scl\src\Callout_Functions\RBA_NDS_WSS_FailureInfo_Callout.c</t>
  </si>
  <si>
    <t>CNMS_ESP_Carbon_Int\MainstreamF30\rb\as\cnms_core\app\net\scl\src\Callout_Functions\RBA_NDS_YAWRATE_Callout.c</t>
  </si>
  <si>
    <t>CNMS_ESP_Carbon_Int\MainstreamF30\rb\as\cnms_core\app\net\scl\src\Steering\SAS_Functions.c</t>
  </si>
  <si>
    <t>CNMS_ESP_Carbon_Int\MainstreamF30\rb\as\cnms_core\app\net\scl\src\Steering\SAS_LWS_Standard.c</t>
  </si>
  <si>
    <t>CNMS_ESP_Carbon_Int\MainstreamF30\rb\as\rbcn\core\app\dcom\RBAPLCust\src\ESP\RBAPLCUST_InputOutputControl.c</t>
  </si>
  <si>
    <t>CNMS_ESP_Carbon_Int\MainstreamF30\rb\as\rbcn\core\app\dcom\RBAPLCust\src\ESP\RBAPLCUST_RDBI_IOCtrlState.c</t>
  </si>
  <si>
    <t>FAW_MainPath_V2.0_Int\MainstreamF30\rba\Bldr\config\ComplexDeviceDriver\rba_BldrFlsDrv\src</t>
  </si>
  <si>
    <t>CNMS_ESPHevX_Carbon_Int\CNMSESPHevX\rb\as\cnms_core\app\net\scl\src\Callout_Functions\RBA_NDS_WSS_FailureInfo_Callout.c</t>
  </si>
  <si>
    <t>MC_247874_Geely_KC2A_ESP9.3HB_RC1</t>
  </si>
  <si>
    <t>BYD_COMMON_DEFECT</t>
  </si>
  <si>
    <t>NET_SCL_Rx_AEB.c</t>
  </si>
  <si>
    <t>Geely_Beryllium2_OBD_China6_Int</t>
  </si>
  <si>
    <t>VELLAISAMY Senthil Kumar (CC-AS/EVA-SW32-CN)</t>
  </si>
  <si>
    <t>BB82738</t>
  </si>
  <si>
    <t>BB82739</t>
  </si>
  <si>
    <t>Can't cover branch "else" of condition if (1) at line #144</t>
  </si>
  <si>
    <t>CNMS_ESPHevX_Carbon_Int\CNMSESPHevX\rb\as\rbcn\core\app\dcom\RBAPLOBD\src\RBAPLOBD_Mode04.c</t>
  </si>
  <si>
    <t>CNMS_ESPHevX_Carbon_Int\CNMSESPHevX\rb\as\rbcn\core\app\dcom\RBAPLCust\src\common\RBAPLCUST_PreConditionsMode04.c</t>
  </si>
  <si>
    <t>GeelyNL5P_ESPHevX_Int\ESPhevXGeely\rb\as\ESPhevX\Geely\app\dsm\RBVAR\src\RBVAR_SystemStateManagement_PROJECT.c</t>
  </si>
  <si>
    <t>GeelyNL5P_ESPHevX_Int\ESPhevXGeely\rb\as\ESPhevX\Geely\app\dsm\RBHMI\src\RBHMI_ExtStateCalculation_PRJ.c</t>
  </si>
  <si>
    <t>SGMW_ESP93_Carbon_Int\MainstreamF30\rb\as\sgmw\CN210S\app\net\RBScl\RBScl_SGMW\src\NET_SCL_Rx_SGMW.c</t>
  </si>
  <si>
    <t>Geely_Beryllium2_OBD_China6_Int\MainstreamF30\rb\as\geely\project\app\net\RBScl\src\Rcv\NET_SCL_Rx_AEB.c</t>
  </si>
  <si>
    <t>Geely_Beryllium2_Int\MainstreamF30\rb\as\geely\project\app\net\RBScl\src\Rcv\NET_SCL_Rx_AEB.c</t>
  </si>
  <si>
    <t xml:space="preserve">SAIC EP22 M2 noneDA ESP9.3 237432 </t>
  </si>
  <si>
    <t>GWM_P3011RC2</t>
  </si>
  <si>
    <t>BSS14</t>
  </si>
  <si>
    <t>NET_BrkVamPumpSts.c</t>
  </si>
  <si>
    <t>NET_Complex_SignalHandling.c</t>
  </si>
  <si>
    <t>NET_InternalIF.c</t>
  </si>
  <si>
    <t>BB81433/81853</t>
  </si>
  <si>
    <t>SAIC_A_ARCH_CMP_ESP93_Carbon_Int</t>
  </si>
  <si>
    <t>GWM_CP_Stream_Int</t>
  </si>
  <si>
    <t>Can't cover fully MCDC for condition at the line#140 and the line #145</t>
  </si>
  <si>
    <t>Actual LOC: 60</t>
  </si>
  <si>
    <t>RDA_VlcTarAx</t>
  </si>
  <si>
    <t>RPAESPHevXEncapSWCust_ECU_CSW_BB99704(1).axl</t>
  </si>
  <si>
    <t>GWM_AB30_CP 7DCT</t>
  </si>
  <si>
    <t>GAC_Carbon_RPA_iBooster_Mainpath_BL06</t>
  </si>
  <si>
    <t>BYD_IPB_SW_Mainstream_BL05_SP14</t>
  </si>
  <si>
    <t>GEEA2.0_ESP9.3_CMP_BL07 (BG1) Sprint4</t>
  </si>
  <si>
    <t>SGMW CN202SR India RC2 CPi 242816 BB81722</t>
  </si>
  <si>
    <t>SCM_AxTar_Calculation</t>
  </si>
  <si>
    <t>AWB_SignalMonitoring</t>
  </si>
  <si>
    <t>PATA_CAN.c</t>
  </si>
  <si>
    <t>RBFSWBootInterface_SGMW.c</t>
  </si>
  <si>
    <t>TestEnvironment_NvM_CNMS_EV712048.c</t>
  </si>
  <si>
    <t>TestEnvironment_NvM_CNMS_EV712518.c</t>
  </si>
  <si>
    <t>TestEnvironment_NvM_CNMS_EV711009.c</t>
  </si>
  <si>
    <t>v (1.2.160.3)</t>
  </si>
  <si>
    <t>v (4.1.160.8)</t>
  </si>
  <si>
    <t>RUBAGAN Varunidhan (CC-AS/EVA-SW2-CN)</t>
  </si>
  <si>
    <t>XU Xueming (CC-AS/EVA-SW2-CN)</t>
  </si>
  <si>
    <t>ZHANG Xuetao (CC-AS/EVA-SW31-CN)</t>
  </si>
  <si>
    <t>GAC_IB2_HADHAP_Int</t>
  </si>
  <si>
    <t>GEEA</t>
  </si>
  <si>
    <t>SGMW_ESP93_Mainstream_RBVH_Int</t>
  </si>
  <si>
    <t>BB81433 / BB81853</t>
  </si>
  <si>
    <t>BB81722</t>
  </si>
  <si>
    <t>BL06</t>
  </si>
  <si>
    <t>BL05_SP14</t>
  </si>
  <si>
    <t>GWM_NET_SCL_Rx_VAF.c</t>
  </si>
  <si>
    <t>SAIC_A_ARCH_CMP_ESP93_Carbon_Int\MainstreamF30\rb\as\saic\CpiwAPB\app\net\RBScl\EP22_M2\src\NET_BrkVamPumpSts.c</t>
  </si>
  <si>
    <t>SAIC_A_ARCH_CMP_ESP93_Carbon_Int\MainstreamF30\rb\as\saic\CpiwAPB\app\net\RBScl\EP22_M2\src\NET_Complex_SignalHandling.c</t>
  </si>
  <si>
    <t>SAIC_A_ARCH_CMP_ESP93_Carbon_Int\MainstreamF30\rb\as\saic\CpiwAPB\app\net\RBScl\Common\src\NET_InternalIF.c</t>
  </si>
  <si>
    <t>GWM_CP_Stream_Int\MainstreamF30\rb\as\gwm\core\app\net\scl\LDMFunctions\VAF\src\GWM_NET_SCL_Rx_VAF.c</t>
  </si>
  <si>
    <t>AB30 CP BS08sprint2</t>
  </si>
  <si>
    <t>GAC_Carbon_RPA_ESPHevx_Mainpath_BL06</t>
  </si>
  <si>
    <t>RBAPLCUST_RBDI_FBL.c</t>
  </si>
  <si>
    <t>RBAPLCUST_RDBI_BOM.c</t>
  </si>
  <si>
    <t>RBAPLCUST_ReadDTCInformation.c</t>
  </si>
  <si>
    <t xml:space="preserve">CEVT_AEB_DecelReqOutRange </t>
  </si>
  <si>
    <t>SGMW_RBA_NDS_PHEV_Callout.c</t>
  </si>
  <si>
    <t>1.0.160.10.1.13.2.1.1.1</t>
  </si>
  <si>
    <t>XU Zhuofan (CC-AS/EVA-SW33-CN)</t>
  </si>
  <si>
    <t>ZHOU Xiaoxi (CC-AS/EVA-SW31-CN)</t>
  </si>
  <si>
    <t>1479289.zip</t>
  </si>
  <si>
    <t>BL07 (BG1) Sprint4</t>
  </si>
  <si>
    <t>BB99308</t>
  </si>
  <si>
    <t>GAC_ESPHevX_HADHAP</t>
  </si>
  <si>
    <t>BB80433</t>
  </si>
  <si>
    <t>CHEN Steve (CC-AS/EVA-SW33-CN)</t>
  </si>
  <si>
    <t>Unable to cover DEFAULT case of switch( SsmState ) at line #339 because the enum SsmState only has 4 values. Cannot cover MCDC case T-T-F at line 179 becase when IMG_BRKMODE_STATUS false =&gt; line 71 false =&gt; line 139 never reach</t>
  </si>
  <si>
    <t>BB81614; BB99300; BB81296;BB99202</t>
  </si>
  <si>
    <t>BB80433; BB80431; BB81003</t>
  </si>
  <si>
    <t>SAIC_A_ARCH_CMP_ESP93_Carbon_Int\MainstreamF30\rb\as\saic\CpiwAPB\app\net\RBScl\EP22_M2\src\PATA_CAN.c</t>
  </si>
  <si>
    <t>SGMW_ESP93_Mainstream_RBVH_Int\MainstreamF30\rb\as\sgmw\CN210S\app\net\RBScl\RBScl_SGMW\src\NET_SCL_Tx_SGMW.c</t>
  </si>
  <si>
    <t>SGMW_ESP93_Mainstream_RBVH_Int\MainstreamF30\rb\as\sgmw\CN210S\app\net\RBScl\RBScl_SGMW\src\NET_SCL_Rx_SGMW_RemoteControl.c</t>
  </si>
  <si>
    <t>SGMW_ESP93_Mainstream_RBVH_Int\MainstreamF30\rb\as\sgmw\CN210S\app\net\RBScl\RBScl_SGMW\src\NET_SCL_Rx_SGMW.c</t>
  </si>
  <si>
    <t>SGMW_ESP93_Mainstream_RBVH_Int\MainstreamF30\rb\as\sgmw\CN210S\dcompr\src\RBFSWBootInterface_SGMW.c</t>
  </si>
  <si>
    <t>SGMW_ESP93_Mainstream_RBVH_Int\MainstreamF30\rb\as\sgmw\CN210S\dsmpr\src\RBPduHandler_Callouts.c</t>
  </si>
  <si>
    <t>SGMW_ESP93_Mainstream_RBVH_Int\MainstreamF30\rb\as\sgmw\CN210S\hswpr\tst\hswsim\src\TestEnvironment_NvM_CNMS_EV712048.c</t>
  </si>
  <si>
    <t>SGMW_ESP93_Mainstream_RBVH_Int\MainstreamF30\rb\as\sgmw\CN210S\hswpr\tst\hswsim\src\TestEnvironment_NvM_CNMS_EV712518.c</t>
  </si>
  <si>
    <t>SGMW_ESP93_Mainstream_RBVH_Int\MainstreamF30\rb\as\sgmw\CN210S\hswpr\tst\hswsim\src\TestEnvironment_NvM_CNMS_EV711009.c</t>
  </si>
  <si>
    <t>SGMW_ESP93_Mainstream_RBVH_Int\MainstreamF30\rb\as\sgmw\core\app\dcom\RBAPLCust\src\RBAPLCUST_DiagnosticSessionControl.c</t>
  </si>
  <si>
    <t>SGMW_ESP93_Mainstream_RBVH_Int\MainstreamF30\rb\as\sgmw\core\app\dcom\RBAPLCust\src\RBAPLCUST_RBDI_NVMData.c</t>
  </si>
  <si>
    <t>SGMW_ESP93_Mainstream_RBVH_Int\MainstreamF30\rb\as\sgmw\core\app\dcom\RBAPLCust\src\RBAPLCUST_WDBI_NVMData.c</t>
  </si>
  <si>
    <t>GWM_AB30_CP_Int\MainstreamF30\rb\as\gwm\core\app\dcom\RBAPLCust\src\common\RBAPLCUST_RBDI_FBL.c</t>
  </si>
  <si>
    <t>GWM_AB30_CP_Int\MainstreamF30\rb\as\gwm\core\app\dcom\RBAPLCust\src\common\RBAPLCUST_RDBI_BOM.c</t>
  </si>
  <si>
    <t>GWM_AB30_CP_Int\MainstreamF30\rb\as\gwm\core\app\dcom\RBAPLCust\src\common\RBAPLCUST_ReadDTCInformation.c</t>
  </si>
  <si>
    <t>GWM_AB30_CP_Int\MainstreamF30\rb\as\gwm\cp\app\dsm\RBVAR\BB80433\src\RBVAR_VarCode_PROJECT.c</t>
  </si>
  <si>
    <t>SGMW_ESP93_Carbon_Int\MainstreamF30\rb\as\sgmw\CN210S\app\net\RBScl\RBScl_SGMW\src\SGMW_RBA_NDS_PHEV_Callout.c</t>
  </si>
  <si>
    <t>Line 11, can’t check FALSE case with MCDC True&amp;&amp;False due to conflict with condition at line 1.</t>
  </si>
  <si>
    <t>+ At line #9, condition "BrkPedlSts == BrkPedlSts_OK" with FALSE case is can’t occur.
'+ Can't cover out max assignment to ScmAxTar at lines #7, #11, #15, #20, #24. Because max value of imported parameters "P_SCM_AxTar_Backup", "P_SCM_AxTar_FrontCrash", "P_SCM_AxTar_Fullbrake" is equal to zero.</t>
  </si>
  <si>
    <t>AEB_MaxActivationTime</t>
  </si>
  <si>
    <t>- Can't cover False case of if (retValue == E_OK) at line #87 because it's always true
- Can't cover if ((RBFS_uC == RBFS_uC_RenesasD3) &amp;&amp; (returnValue == E_OK)) case (T&amp;&amp;F) because returnValue is always equal E_OK
- Can't cover ful MCDCs at line #298, line #314, line #330, line #346 beacause all of them are macros</t>
  </si>
  <si>
    <t>FAW_C100_IPB1.1_BSS01</t>
  </si>
  <si>
    <t>ApbHostData_Project.c</t>
  </si>
  <si>
    <t>DcmAppl_Dcm_ProcessRequestDownload.c</t>
  </si>
  <si>
    <t>DcmAppl_DcmGetRemainingResponseLength.c</t>
  </si>
  <si>
    <t>DcmAppl_DcmGetRoeDTCInfo.c</t>
  </si>
  <si>
    <t>DcmAppl_DcmMemSizeCheckForTransferData.c</t>
  </si>
  <si>
    <t>DcmAppl_DcmStoreROEcycleCounter.c</t>
  </si>
  <si>
    <t>DcmAppl_DcmStoreRoeDidInfo.c</t>
  </si>
  <si>
    <t>DcmAppl_DcmStoreRoeDTCInfo.c</t>
  </si>
  <si>
    <t>DcmAppl_Switch_DcmResponseOnEvent.c</t>
  </si>
  <si>
    <t>RBAPLCUST_CNMSCORE_CallbackFun.c</t>
  </si>
  <si>
    <t>RBAPLCUST_DcmCommControlConditionCheck.c</t>
  </si>
  <si>
    <t>RBAPLCUST_DcmGetProgConditions.c</t>
  </si>
  <si>
    <t>RBAPLCUST_DcmGetStoreType.c</t>
  </si>
  <si>
    <t>RBAPLCUST_DcmManufacturerNotification.c</t>
  </si>
  <si>
    <t>RBAPLCUST_DcmSetProgConditions.c</t>
  </si>
  <si>
    <t>RBAPLCUST_DcmSwitchCommunicationControl.c</t>
  </si>
  <si>
    <t>RBAPLCUST_DcmSwitchDcmExecuteDscReset.c</t>
  </si>
  <si>
    <t>RBAPLCUST_ProjectSpecific_Routines.c</t>
  </si>
  <si>
    <t>RBAPLCUST_RDBI_ActuationState.c</t>
  </si>
  <si>
    <t>RBAPLCUST_RDBI_AnalogData.c</t>
  </si>
  <si>
    <t>RBAPLCUST_RDBI_BatteryVoltage.c</t>
  </si>
  <si>
    <t>RBAPLCUST_RDBI_CBDS.c</t>
  </si>
  <si>
    <t>RBAPLCUST_RDBI_IPBAssemblyMode.c</t>
  </si>
  <si>
    <t>RBAPLCUST_RDBI_PBC.c</t>
  </si>
  <si>
    <t>RBAPLCUST_RDBI_StatusInformation.c</t>
  </si>
  <si>
    <t>RBAPLCUST_RDBI_SystemData.c</t>
  </si>
  <si>
    <t>RBAPLCUST_RDBI_SystemSensor.c</t>
  </si>
  <si>
    <t>RBAPLCUST_RoutineControl.c</t>
  </si>
  <si>
    <t>RBAPLCUST_RoutineControl_ActuatorTest.c</t>
  </si>
  <si>
    <t>RBAPLCUST_RoutineControl_DynamicTest.c</t>
  </si>
  <si>
    <t>RBAPLCUST_RoutineControl_EvacAndFill.c</t>
  </si>
  <si>
    <t>RBAPLCUST_RoutineControl_iBoosterActuatorTest.c</t>
  </si>
  <si>
    <t>RBAPLCUST_RoutineControl_IPBAirMonitoring.c</t>
  </si>
  <si>
    <t>RBAPLCUST_RoutineControl_IPBBrakeFluidChange.c</t>
  </si>
  <si>
    <t>RBAPLCUST_RoutineControl_IPBComfortPulseCalibration.c</t>
  </si>
  <si>
    <t>RBAPLCUST_RoutineControl_IPBDynamicTest.c</t>
  </si>
  <si>
    <t>RBAPLCUST_RoutineControl_IPBEvacAndFill.c</t>
  </si>
  <si>
    <t>RBAPLCUST_RoutineControl_IPBLeakageAndAirTest.c</t>
  </si>
  <si>
    <t>RBAPLCUST_RoutineControl_IPBRepairBleed.c</t>
  </si>
  <si>
    <t>RBAPLCUST_RoutineControl_IPBRPSCalibration.c</t>
  </si>
  <si>
    <t>RBAPLCUST_RoutineControl_IPBTandemMasterCylinderTest.c</t>
  </si>
  <si>
    <t>RBAPLCUST_RoutineControl_RepairBleeding.c</t>
  </si>
  <si>
    <t>RBAPLCUST_ValvesToggling.c</t>
  </si>
  <si>
    <t>RBAPLCUST_WDBI_IPBAssemblyMode.c</t>
  </si>
  <si>
    <t>RBAPLOBD_Data.c</t>
  </si>
  <si>
    <t>RBAPLOBD_Global.c</t>
  </si>
  <si>
    <t>BB82026</t>
  </si>
  <si>
    <t>BSS01</t>
  </si>
  <si>
    <t>FAW_IPB1.1_Int</t>
  </si>
  <si>
    <t>ZHENG Fangfang (CC-AS/EVA-SW33-CN)</t>
  </si>
  <si>
    <t>Comment LV1</t>
  </si>
  <si>
    <t>GWM_AB30_CP_Int\MainstreamF30\rb\as\gwm\cp\app\net\RBScl\src\ComScl_Scl_Complex_proc.c</t>
  </si>
  <si>
    <t>GAC_IB2_HADHAP_Int\iBoosterGen2\rb\as\gaig\core\app\dsm\RBVAR\A20FPA\src\RBVAR_OutputDriver_PROJECT.c</t>
  </si>
  <si>
    <t>GAC_IB2_HADHAP_Int\iBoosterGen2\rb\as\gaig\core\app\dsm\RBVAR\A12FPA\src\RBVAR_OutputDriver_PROJECT.c</t>
  </si>
  <si>
    <t>BYD_IPB_BL05_Int\BYDIPB\rb\as\BYD\ipb\app\net\RBScl\src\rba_SCL_Settings.c</t>
  </si>
  <si>
    <t>FAW_IPB1.1_Int\FAW_IPB\rb\as\fawIPB\core\app\asw\apbmi\host\PDM\APBHostData_Project_C\SRC\ApbHostData_Project.c</t>
  </si>
  <si>
    <t>FAW_IPB1.1_Int\FAW_IPB\rb\as\fawIPB\core\app\dcom\Cubas\src\Dcm\DcmAppl_Dcm_ProcessRequestDownload.c</t>
  </si>
  <si>
    <t>FAW_IPB1.1_Int\FAW_IPB\rb\as\fawIPB\core\app\dcom\Cubas\src\Dcm\DcmAppl_DcmGetRemainingResponseLength.c</t>
  </si>
  <si>
    <t>FAW_IPB1.1_Int\FAW_IPB\rb\as\fawIPB\core\app\dcom\Cubas\src\Dcm\DcmAppl_DcmGetRoeDTCInfo.c</t>
  </si>
  <si>
    <t>FAW_IPB1.1_Int\FAW_IPB\rb\as\fawIPB\core\app\dcom\Cubas\src\Dcm\DcmAppl_DcmMemSizeCheckForTransferData.c</t>
  </si>
  <si>
    <t>FAW_IPB1.1_Int\FAW_IPB\rb\as\fawIPB\core\app\dcom\Cubas\src\Dcm\DcmAppl_DcmStoreROEcycleCounter.c</t>
  </si>
  <si>
    <t>FAW_IPB1.1_Int\FAW_IPB\rb\as\fawIPB\core\app\dcom\Cubas\src\Dcm\DcmAppl_DcmStoreRoeDidInfo.c</t>
  </si>
  <si>
    <t>FAW_IPB1.1_Int\FAW_IPB\rb\as\fawIPB\core\app\dcom\Cubas\src\Dcm\DcmAppl_DcmStoreRoeDTCInfo.c</t>
  </si>
  <si>
    <t>FAW_IPB1.1_Int\FAW_IPB\rb\as\fawIPB\core\app\dcom\Cubas\src\Dcm\DcmAppl_Switch_DcmResponseOnEvent.c</t>
  </si>
  <si>
    <t>FAW_IPB1.1_Int\FAW_IPB\rb\as\fawIPB\core\app\dcom\RBAPLCust\src\common\RBAPLCUST_CNMSCORE_CallbackFun.c</t>
  </si>
  <si>
    <t>FAW_IPB1.1_Int\FAW_IPB\rb\as\fawIPB\core\app\dcom\RBAPLCust\src\common\RBAPLCUST_DcmCommControlConditionCheck.c</t>
  </si>
  <si>
    <t>FAW_IPB1.1_Int\FAW_IPB\rb\as\fawIPB\core\app\dcom\RBAPLCust\src\common\RBAPLCUST_DcmGetProgConditions.c</t>
  </si>
  <si>
    <t>FAW_IPB1.1_Int\FAW_IPB\rb\as\fawIPB\core\app\dcom\RBAPLCust\src\common\RBAPLCUST_DcmGetStoreType.c</t>
  </si>
  <si>
    <t>FAW_IPB1.1_Int\FAW_IPB\rb\as\fawIPB\core\app\dcom\RBAPLCust\src\common\RBAPLCUST_DcmManufacturerNotification.c</t>
  </si>
  <si>
    <t>FAW_IPB1.1_Int\FAW_IPB\rb\as\fawIPB\core\app\dcom\RBAPLCust\src\common\RBAPLCUST_DcmSetProgConditions.c</t>
  </si>
  <si>
    <t>FAW_IPB1.1_Int\FAW_IPB\rb\as\fawIPB\core\app\dcom\RBAPLCust\src\common\RBAPLCUST_DcmSwitchCommunicationControl.c</t>
  </si>
  <si>
    <t>FAW_IPB1.1_Int\FAW_IPB\rb\as\fawIPB\core\app\dcom\RBAPLCust\src\common\RBAPLCUST_DcmSwitchDcmExecuteDscReset.c</t>
  </si>
  <si>
    <t>FAW_IPB1.1_Int\FAW_IPB\rb\as\fawIPB\core\app\dcom\RBAPLCust\src\common\RBAPLCUST_DiagnosticSessionControl.c</t>
  </si>
  <si>
    <t>FAW_IPB1.1_Int\FAW_IPB\rb\as\fawIPB\core\app\dcom\RBAPLCust\src\ESP\RBAPLCUST_InputOutputControl_GeneralFunctions.c</t>
  </si>
  <si>
    <t>FAW_IPB1.1_Int\FAW_IPB\rb\as\fawIPB\core\app\dcom\RBAPLCust\src\IPB\RBAPLCUST_InputOutputControl_GeneralFunctions.c</t>
  </si>
  <si>
    <t>FAW_IPB1.1_Int\FAW_IPB\rb\as\fawIPB\core\app\dcom\RBAPLCust\src\ESP\RBAPLCUST_ProjectSpecific_Routines.c</t>
  </si>
  <si>
    <t>FAW_IPB1.1_Int\FAW_IPB\rb\as\fawIPB\core\app\dcom\RBAPLCust\src\ESP\RBAPLCUST_RDBI_ActuationState.c</t>
  </si>
  <si>
    <t>FAW_IPB1.1_Int\FAW_IPB\rb\as\fawIPB\core\app\dcom\RBAPLCust\src\IPB\RBAPLCUST_RDBI_ActuationState.c</t>
  </si>
  <si>
    <t>FAW_IPB1.1_Int\FAW_IPB\rb\as\fawIPB\core\app\dcom\RBAPLCust\src\iBooster\RBAPLCUST_RDBI_AnalogData.c</t>
  </si>
  <si>
    <t>FAW_IPB1.1_Int\FAW_IPB\rb\as\fawIPB\core\app\dcom\RBAPLCust\src\common\RBAPLCUST_RDBI_BatteryVoltage.c</t>
  </si>
  <si>
    <t>FAW_IPB1.1_Int\FAW_IPB\rb\as\fawIPB\core\app\dcom\RBAPLCust\src\IPB\RBAPLCUST_RDBI_CBDS.c</t>
  </si>
  <si>
    <t>FAW_IPB1.1_Int\FAW_IPB\rb\as\fawIPB\core\app\dcom\RBAPLCust\src\ESP\RBAPLCUST_RDBI_IOCtrlState.c</t>
  </si>
  <si>
    <t>FAW_IPB1.1_Int\FAW_IPB\rb\as\fawIPB\core\app\dcom\RBAPLCust\src\IPB\RBAPLCUST_RDBI_IOCtrlState.c</t>
  </si>
  <si>
    <t>FAW_IPB1.1_Int\FAW_IPB\rb\as\fawIPB\core\app\dcom\RBAPLCust\src\IPB\RBAPLCUST_RDBI_IPBAssemblyMode.c</t>
  </si>
  <si>
    <t>FAW_IPB1.1_Int\FAW_IPB\rb\as\fawIPB\core\app\dcom\RBAPLCust\src\ESP\RBAPLCUST_RDBI_PBC.c</t>
  </si>
  <si>
    <t>FAW_IPB1.1_Int\FAW_IPB\rb\as\fawIPB\core\app\dcom\RBAPLCust\src\IPB\RBAPLCUST_RDBI_PBC.c</t>
  </si>
  <si>
    <t>FAW_IPB1.1_Int\FAW_IPB\rb\as\fawIPB\core\app\dcom\RBAPLCust\src\iBooster\RBAPLCUST_RDBI_StatusInformation.c</t>
  </si>
  <si>
    <t>FAW_IPB1.1_Int\FAW_IPB\rb\as\fawIPB\core\app\dcom\RBAPLCust\src\IPB\RBAPLCUST_RDBI_SystemData.c</t>
  </si>
  <si>
    <t>FAW_IPB1.1_Int\FAW_IPB\rb\as\fawIPB\core\app\dcom\RBAPLCust\src\ESP\RBAPLCUST_RDBI_SystemSensor.c</t>
  </si>
  <si>
    <t>FAW_IPB1.1_Int\FAW_IPB\rb\as\fawIPB\core\app\dcom\RBAPLCust\src\IPB\RBAPLCUST_RDBI_SystemSensor.c</t>
  </si>
  <si>
    <t>FAW_IPB1.1_Int\FAW_IPB\rb\as\fawIPB\core\app\dcom\RBAPLCust\src\common\RBAPLCUST_RoutineControl.c</t>
  </si>
  <si>
    <t>FAW_IPB1.1_Int\FAW_IPB\rb\as\fawIPB\core\app\dcom\RBAPLCust\src\ESP\RBAPLCUST_RoutineControl_ActuatorTest.c</t>
  </si>
  <si>
    <t>FAW_IPB1.1_Int\FAW_IPB\rb\as\fawIPB\core\app\dcom\RBAPLCust\src\ESP\RBAPLCUST_RoutineControl_ConditionCheck.c</t>
  </si>
  <si>
    <t>FAW_IPB1.1_Int\FAW_IPB\rb\as\fawIPB\core\app\dcom\RBAPLCust\src\ESP\RBAPLCUST_RoutineControl_DynamicTest.c</t>
  </si>
  <si>
    <t>FAW_IPB1.1_Int\FAW_IPB\rb\as\fawIPB\core\app\dcom\RBAPLCust\src\ESP\RBAPLCUST_RoutineControl_EvacAndFill.c</t>
  </si>
  <si>
    <t>FAW_IPB1.1_Int\FAW_IPB\rb\as\fawIPB\core\app\dcom\RBAPLCust\src\iBooster\RBAPLCUST_RoutineControl_iBoosterActuatorTest.c</t>
  </si>
  <si>
    <t>FAW_IPB1.1_Int\FAW_IPB\rb\as\fawIPB\core\app\dcom\RBAPLCust\src\IPB\RBAPLCUST_RoutineControl_IPBAirMonitoring.c</t>
  </si>
  <si>
    <t>FAW_IPB1.1_Int\FAW_IPB\rb\as\fawIPB\core\app\dcom\RBAPLCust\src\IPB\RBAPLCUST_RoutineControl_IPBBrakeFluidChange.c</t>
  </si>
  <si>
    <t>FAW_IPB1.1_Int\FAW_IPB\rb\as\fawIPB\core\app\dcom\RBAPLCust\src\IPB\RBAPLCUST_RoutineControl_IPBComfortPulseCalibration.c</t>
  </si>
  <si>
    <t>FAW_IPB1.1_Int\FAW_IPB\rb\as\fawIPB\core\app\dcom\RBAPLCust\src\IPB\RBAPLCUST_RoutineControl_IPBDynamicTest.c</t>
  </si>
  <si>
    <t>FAW_IPB1.1_Int\FAW_IPB\rb\as\fawIPB\core\app\dcom\RBAPLCust\src\IPB\RBAPLCUST_RoutineControl_IPBEvacAndFill.c</t>
  </si>
  <si>
    <t>FAW_IPB1.1_Int\FAW_IPB\rb\as\fawIPB\core\app\dcom\RBAPLCust\src\IPB\RBAPLCUST_RoutineControl_IPBLeakageAndAirTest.c</t>
  </si>
  <si>
    <t>FAW_IPB1.1_Int\FAW_IPB\rb\as\fawIPB\core\app\dcom\RBAPLCust\src\IPB\RBAPLCUST_RoutineControl_IPBRepairBleed.c</t>
  </si>
  <si>
    <t>FAW_IPB1.1_Int\FAW_IPB\rb\as\fawIPB\core\app\dcom\RBAPLCust\src\IPB\RBAPLCUST_RoutineControl_IPBRPSCalibration.c</t>
  </si>
  <si>
    <t>FAW_IPB1.1_Int\FAW_IPB\rb\as\fawIPB\core\app\dcom\RBAPLCust\src\IPB\RBAPLCUST_RoutineControl_IPBTandemMasterCylinderTest.c</t>
  </si>
  <si>
    <t>FAW_IPB1.1_Int\FAW_IPB\rb\as\fawIPB\core\app\dcom\RBAPLCust\src\ESP\RBAPLCUST_RoutineControl_RepairBleeding.c</t>
  </si>
  <si>
    <t>FAW_IPB1.1_Int\FAW_IPB\rb\as\fawIPB\core\app\dcom\RBAPLCust\src\IPB\RBAPLCUST_RoutineControl_WheelSpeedSensorTest.c</t>
  </si>
  <si>
    <t>FAW_IPB1.1_Int\FAW_IPB\rb\as\fawIPB\core\app\dcom\RBAPLCust\src\ESP\RBAPLCUST_RoutineControl_WheelSpeedSensorTest.c</t>
  </si>
  <si>
    <t>FAW_IPB1.1_Int\FAW_IPB\rb\as\fawIPB\core\app\dcom\RBAPLCust\src\ESP\RBAPLCUST_ValvesToggling.c</t>
  </si>
  <si>
    <t>FAW_IPB1.1_Int\FAW_IPB\rb\as\fawIPB\core\app\dcom\RBAPLCust\src\common\RBAPLCUST_VariandCode.c</t>
  </si>
  <si>
    <t>FAW_IPB1.1_Int\FAW_IPB\rb\as\fawIPB\core\app\dcom\RBAPLCust\src\IPB\RBAPLCUST_WDBI_IPBAssemblyMode.c</t>
  </si>
  <si>
    <t>FAW_IPB1.1_Int\FAW_IPB\rb\as\fawIPB\core\app\dcom\RBAPLOBD\src\RBAPLOBD_Data.c</t>
  </si>
  <si>
    <t>FAW_IPB1.1_Int\FAW_IPB\rb\as\fawIPB\core\app\dcom\RBAPLOBD\src\RBAPLOBD_Global.c</t>
  </si>
  <si>
    <t>FAW_IPB1.1_Int\FAW_IPB\rb\as\fawIPB\prj\dsmpr\RBEMM\src\RBEMM_Project.c</t>
  </si>
  <si>
    <t>RBEMM_Project.c</t>
  </si>
  <si>
    <t>WANG Hongpeng (CC-AS/EVA-SW33-CN)</t>
  </si>
  <si>
    <t>Actual LOC: 355.
Owner confirm it's not impact</t>
  </si>
  <si>
    <t>- Can't cover full MCDCs at line #135 case (T&amp;&amp;F). Because it has already covered by if at line #129
- Can't cover full MCDCs at line #130 case (F&amp;&amp;?)(F&amp;&amp;?) because decision (RBAPLCUST_RollerBenchSessionState == RBAPLCUST_RollerBenchSessionState_NOT_ACTIVE) and (RBAPLCUST_RollerBenchSessionState != RBAPLCUST_RollerBenchSessionState_NOT_ACTIVE) are confict</t>
  </si>
  <si>
    <t>No1. Line 93: if((C_GearboxType_Manual_N == ls_GearboxType_N) &amp;&amp; (RBFS_AutomatedParkingBrake == RBFS_AutomatedParkingBrake_Yes))
Detail: Can not cover (RBFS_AutomatedParkingBrake == RBFS_AutomatedParkingBrake_Yes) because RBFS_AutomatedParkingBrake is always set RBFS_AutomatedParkingBrake_Yes
No2. Line 150: if(l_SCL_AccelerationPedalPosition_UB &lt; C_MotPedalPosThrottleValve_Invalid_UB)
Detail: Can not cover true case because l_SCL_AccelerationPedalPosition_UB is ubyte, and C_MotPedalPosThrottleValve_Invalid_UB = 0x100. Therefore l_SCL_AccelerationPedalPosition_UB will never reached 0x100.
No3. Line 203: if(ls_HAS_SignalFailIndication_B)
Detail: Can not cover false case because "static BOOL  ls_HAS_SignalFailIndication_B = C_TestOk_b" is always set at line 185
No4. Line 371: if(ls_ACCAEBDecCtrlAct_SignalFailIndication_B)
Detail: Can not cover false case because "static BOOL  ls_ACCAEBDecCtrlAct_SignalFailIndication_B = C_TestOk_b;" is always set at line 331
No5. Line 508: if((l_ACC_MaxJerkAcce_SW &lt;= C_MaxValue_ACC_MaxJerkAcce_SW) &amp;&amp; (l_ACC_MaxJerkAcce_SW &gt;= C_MinValue_ACC_MaxJerkAcce_SW))
Detail: Can not cover false (l_ACC_MaxJerkAcce_SW &lt;= C_MaxValue_ACC_MaxJerkAcce_SW) because SCL_ACC_MaxJerkAcce_SGMW is sint8. Therefore l_ACC_MaxJerkAcce_SW will never reach out 127
    - #define SCL_ACC_MaxJerkAcce_SGMW rba_ComScl_RawSignal_MaxAlwGradofTarAcceleration_RX_s8
    - sint8 rba_ComScl_RawSignal_MaxAlwGradofTarAcceleration_RX_s8;
    - #define C_MaxValue_ACC_MaxJerkAcce_SW               127
No6. Line 643: if(ls_AmbientTemp_IC_SignalFailIndication_B)
Detail: Can not cover false case because "static BOOL  ls_AmbientTemp_IC_SignalFailIndication_B = C_TestOk_b;" is always set at line 602</t>
  </si>
  <si>
    <t>BYD_IPB_SW_Mainstream_BL05</t>
  </si>
  <si>
    <t>GAC_Carbon_Stream_ESPCP_STRGAC_C201_BL05</t>
  </si>
  <si>
    <t>GAC_Carbon_RPA_iBooster_Mainpath_BL04</t>
  </si>
  <si>
    <t>rba_AS_HWProt.c</t>
  </si>
  <si>
    <t>CCM_Callbacks_Project.c</t>
  </si>
  <si>
    <t>RBAPLCUST_SecurityAccess.c</t>
  </si>
  <si>
    <t>RBAPLCUST_RDBI_SystemSensor_GAC.c</t>
  </si>
  <si>
    <t>RBNET_ProjectSpecific_Monitoring.c</t>
  </si>
  <si>
    <t xml:space="preserve">ATM_ModeSelection </t>
  </si>
  <si>
    <t>BYD_IPB_SR_ST20</t>
  </si>
  <si>
    <t>GAC_ESPHevX_HADHAP_Int</t>
  </si>
  <si>
    <t>GAC_ESP93CP_Carbon_Int</t>
  </si>
  <si>
    <t>IPBCust_ECU_CSW_BB00000</t>
  </si>
  <si>
    <t>BB98153</t>
  </si>
  <si>
    <t>BB81116</t>
  </si>
  <si>
    <t>BB99300</t>
  </si>
  <si>
    <t>BL05</t>
  </si>
  <si>
    <t>BL04</t>
  </si>
  <si>
    <t>Deepika Rangarajan (RBEI/EBB7)</t>
  </si>
  <si>
    <t>HU Di (CC-AS/ESW2-CN)</t>
  </si>
  <si>
    <t>PAN Qi (CC-AS/EVA-SW31-CN)</t>
  </si>
  <si>
    <t>GAC_ESPHevX_HADHAP_Int\CNMSHevXHADHAP\rb\as\gaig\prj\dsmpr\src</t>
  </si>
  <si>
    <t>P3011RC2 H&amp;L and EC02RC1</t>
  </si>
  <si>
    <t>BS08sprint2</t>
  </si>
  <si>
    <t>ComScl_CalcCRC8.c</t>
  </si>
  <si>
    <t>NET_AliveCounterLib_CNMS.c</t>
  </si>
  <si>
    <t>Net_ChecksumLib.c</t>
  </si>
  <si>
    <t>NET_ChecksumLib_CNMS_Crc1850.c</t>
  </si>
  <si>
    <t>rba_InternalIF.c</t>
  </si>
  <si>
    <t>RBHMI_ConfigOutputDriver_IPB.C</t>
  </si>
  <si>
    <t>RBHMI_PresentStateCalculation_IPB.C</t>
  </si>
  <si>
    <t>RBHMI_StatesDefinitionTable_IPB.C</t>
  </si>
  <si>
    <t>RBHMI_Synchronisation_IPB.C</t>
  </si>
  <si>
    <t>ASWIF09_CommonConfig_IPB.c</t>
  </si>
  <si>
    <t>DSMSim_PRJ_Specific.c</t>
  </si>
  <si>
    <t>RBDemVar_VariantHandling.c</t>
  </si>
  <si>
    <t>rba_NET_Global_variable.c</t>
  </si>
  <si>
    <t>RbOBD_CyclesHandler.c</t>
  </si>
  <si>
    <t>Dem.c</t>
  </si>
  <si>
    <t>rba_stm_Component_cfg.c</t>
  </si>
  <si>
    <t>RBSYSStub_LocksImpl.c</t>
  </si>
  <si>
    <t>CBDS_prjConfiguration.c</t>
  </si>
  <si>
    <t>MSI_SMM_MessageAdapter_iPB.c</t>
  </si>
  <si>
    <t>rba_STM_Processing_iPB.c</t>
  </si>
  <si>
    <t>RBDSM_SWT_ComponentSwitch.c</t>
  </si>
  <si>
    <t>RBDSM_SWT_MS_Node.c</t>
  </si>
  <si>
    <t>RBDSM_SWT_MS_STM.c</t>
  </si>
  <si>
    <t>RBRSS_ProjectConfiguration.c</t>
  </si>
  <si>
    <t>RBUBExtSupply_Main.c</t>
  </si>
  <si>
    <t>XCP_HSW_release_build.c</t>
  </si>
  <si>
    <t>GWM_NET_SCL_Rx_SCM.c</t>
  </si>
  <si>
    <t>NET_Torque_Callout_GWM.c</t>
  </si>
  <si>
    <t>RBAPLCUST_RoutineControl_PreconditionCheck.c</t>
  </si>
  <si>
    <t>-Owner confirm that's OK</t>
  </si>
  <si>
    <t>Comment LV1
No function to test</t>
  </si>
  <si>
    <t xml:space="preserve">At function “static boolean RBAPLCUST_RequestRollerBenchSession(boolean l_Active)”
Cannot cover MCDC because it’s conflict.
</t>
  </si>
  <si>
    <t>GAC_ESPHevX_HADHAP_Int\CNMSHevXHADHAP\rb\as\gaig\core\app\net\RBScl\src</t>
  </si>
  <si>
    <t>Can't cover for false case of 
if ((absoluteAddress_u32 &gt;= rba_BldrCmp_LogicalBlockTable_pst[rba_BldrCmp_BootCtrl_st.LogicalBlockIdx].BlockSegTable[rba_BldrCmp_BootCtrl_st.LogBlkCurSegment_u8].segment_begin) &amp;&amp;
                    (absoluteAddress_u32 &lt;= rba_BldrCmp_LogicalBlockTable_pst[rba_BldrCmp_BootCtrl_st.LogicalBlockIdx].BlockSegTable[rba_BldrCmp_BootCtrl_st.LogBlkCurSegment_u8].segment_end))
. Because absoluteAddress_u32 = rba_BldrCmp_LogicalBlockTable_pst[rba_BldrCmp_BootCtrl_st.LogicalBlockIdx].BlockSegTable[rba_BldrCmp_BootCtrl_st.LogBlkCurSegment_u8].segment_begin + relativeAddress_u32 and  relativeAddress_u32 &gt;=0.
Can’t cover for true case of if(temp_retValue == E_OK) at line#412 because address of pointer Status_id is fixed (limit cantata, can’t set the fixed address).</t>
  </si>
  <si>
    <t>GAC_ESPHevX_HADHAP_Int\CNMSHevXHADHAP\rb\as\gaig\prj\dsmpr\src\RBEMM</t>
  </si>
  <si>
    <t>Waiting Owner</t>
  </si>
  <si>
    <t>GAC_IB2_HADHAP_Int\iBoosterGen2\rb\as\gaig\core\app\net\net_OBD_Off\RBComScl\src</t>
  </si>
  <si>
    <t>GAC_IB2_HADHAP_Int\iBoosterGen2\rb\as\gaig\prj\dsmpr\src</t>
  </si>
  <si>
    <t>- No have function to test</t>
  </si>
  <si>
    <t>Geely_ESP93_Carbon_Int\MainstreamF30\rba\Bldr\config\ApplicationLayer\rba_BldrCmp\src\</t>
  </si>
  <si>
    <t>Geely_ESP93_Carbon_Int\MainstreamF30\rba\Bldr\config\Infrastruct\rba_AS_HWProt\src\</t>
  </si>
  <si>
    <t>BYD_IPB_BL05_Int\BYDIPB\rb\as\BYD\ipb\app\dsm\RBVAR\src\</t>
  </si>
  <si>
    <t>BYD_IPB_SR_ST20\BYDIPB\rb\as\BYD\ipb\app\dsm\RBVAR\src\</t>
  </si>
  <si>
    <t>GAC_ESP93CP_Carbon_Int\MainstreamF30\rb\as\gaig\core\app\dcom\RBAPLCust\src\common\</t>
  </si>
  <si>
    <t>GAC_ESP93CP_Carbon_Int\MainstreamF30\rb\as\gaig\core\app\dcom\RBAPLCust\src\ESP\</t>
  </si>
  <si>
    <t>-Can’t check cover True-False case for the condition line 93 because the variable g_DCOM_ManufactoryMode is uint8, it have the maximum value is 0xFF and cannot bigger.</t>
  </si>
  <si>
    <t xml:space="preserve">#106, 146, 216 Cannot cover false case at line 106, 146, 216 because NMSG_HmiSignal_ABSMalfunction_UB_l, NMSG_HmiSignal_ASRMalfunction_UB_l, NMSG_HmiSignal_ESCMalfunction_UB_l are unsign type =&gt; cannot &lt; 0
 </t>
  </si>
  <si>
    <t xml:space="preserve">#Line42 Cannot cover MCDC case F-X-X at line 42 because when cover MCDC for X-X True =&gt; first conditon pMsgContext-&gt;reqDataLen != RBA_BLDRCMP_DID_MIN_LENGTH is always True
#Line86 Cannot cover switch case because not any case for switch
</t>
  </si>
  <si>
    <t>#Line43, 54, 65, 76 at line 43, 54, 65, 76 cannot cover C0/C1/MCDC because all variable are define value
#Line46 can not cover false case at line 46 because address can not lower than 0</t>
  </si>
  <si>
    <t>RN_SUV_CRBS_BSS7x_dev</t>
  </si>
  <si>
    <t>FAW_IPB1.1_Int\FAW_IPB\rb\as\fawIPB\core\app\net\RBNetPrj\RBNet_Can\src\ComScl_CalcCRC8.c</t>
  </si>
  <si>
    <t>FAW_IPB1.1_Int\FAW_IPB\rb\as\fawIPB\core\app\net\RBNetPrj\RBNet_Can\src\NET_AliveCounterLib_CNMS.c</t>
  </si>
  <si>
    <t>FAW_IPB1.1_Int\FAW_IPB\rb\as\fawIPB\core\app\net\Cubas\src\Net_ChecksumLib.c</t>
  </si>
  <si>
    <t>FAW_IPB1.1_Int\FAW_IPB\rb\as\fawIPB\core\app\net\RBNetPrj\RBNet_Can\src\NET_CheckSumLib_CNMS.c</t>
  </si>
  <si>
    <t>FAW_IPB1.1_Int\FAW_IPB\rb\as\fawIPB\core\app\net\RBNetPrj\RBNet_Can\src\NET_ChecksumLib_CNMS_Crc1850.c</t>
  </si>
  <si>
    <t>FAW_IPB1.1_Int\FAW_IPB\rb\as\fawIPB\core\app\net\Cubas\src\rba_InternalIF.c</t>
  </si>
  <si>
    <t>FAW_IPB1.1_Int\FAW_IPB\rb\as\fawIPB\prj\app\dsm\rbhmi\src\RBHMI_ConfigOutputDriver_IPB.C</t>
  </si>
  <si>
    <t>FAW_IPB1.1_Int\FAW_IPB\rb\as\fawIPB\prj\app\dsm\rbhmi\src\RBHMI_PresentStateCalculation_IPB.C</t>
  </si>
  <si>
    <t>FAW_IPB1.1_Int\FAW_IPB\rb\as\fawIPB\prj\app\dsm\rbhmi\src\RBHMI_StatesDefinitionTable_IPB.C</t>
  </si>
  <si>
    <t>FAW_IPB1.1_Int\FAW_IPB\rb\as\fawIPB\prj\app\dsm\rbhmi\src\RBHMI_Synchronisation_IPB.C</t>
  </si>
  <si>
    <t>FAW_IPB1.1_Int\FAW_IPB\rb\as\fawIPB\prj\app\dsm\RBDsmSim\RB_SimDsmCfg\stubs\src\ASWIF09_CommonConfig_IPB.c</t>
  </si>
  <si>
    <t>FAW_IPB1.1_Int\FAW_IPB\rb\as\fawIPB\prj\app\dsm\RBWarningIndicator\src\Dem_PrjSpecificIndiHandling.c</t>
  </si>
  <si>
    <t>FAW_IPB1.1_Int\FAW_IPB\rb\as\fawIPB\prj\app\dsm\RBDsmSim\RB_SimDsmCfg\PRJ_Specific\src\DSMSim_PRJ_Specific.c</t>
  </si>
  <si>
    <t>FAW_IPB1.1_Int\FAW_IPB\rb\as\fawIPB\prj\app\dsm\DemVar\src\RBDemVar_VariantHandling.c</t>
  </si>
  <si>
    <t>FAW_IPB1.1_Int\FAW_IPB\rb\as\fawIPB\prj\app\dsm\RBVAR\src\RBVAR_OutputDriver_PROJECT.c</t>
  </si>
  <si>
    <t>FAW_IPB1.1_Int\FAW_IPB\rb\as\fawIPB\prj\app\dsm\RBVAR\src\RBVAR_VarCode_PROJECT.c</t>
  </si>
  <si>
    <t>FAW_IPB1.1_Int\FAW_IPB\rb\as\fawIPB\prj\app\net\RBScl\src\rba_NET_Global_variable.c</t>
  </si>
  <si>
    <t>FAW_IPB1.1_Int\FAW_IPB\rb\as\fawIPB\prj\app\net\RBScl\src\RBNET_ProjectSpecific_Monitoring.c</t>
  </si>
  <si>
    <t>FAW_IPB1.1_Int\FAW_IPB\rb\as\fawIPB\prj\app\obd\ObdCyclesHandler\src\RbOBD_CyclesHandler.c</t>
  </si>
  <si>
    <t>FAW_IPB1.1_Int\FAW_IPB\rb\as\fawIPB\prj\app\sim\stubs\SRC\Dem.c</t>
  </si>
  <si>
    <t>FAW_IPB1.1_Int\FAW_IPB\rb\as\fawIPB\prj\app\sim\stubs\SRC\rba_stm_Component_cfg.c</t>
  </si>
  <si>
    <t>FAW_IPB1.1_Int\FAW_IPB\rb\as\fawIPB\prj\app\sim\stubs\SRC\RBSYSStub_LocksImpl.c</t>
  </si>
  <si>
    <t>FAW_IPB1.1_Int\FAW_IPB\rb\as\fawIPB\prj\cbdspr\src\CBDS_prjConfiguration.c</t>
  </si>
  <si>
    <t>FAW_IPB1.1_Int\FAW_IPB\rb\as\fawIPB\prj\dsmpr\src\RBMSI\src\MSI_SMM_MessageAdapter_iPB.c</t>
  </si>
  <si>
    <t>FAW_IPB1.1_Int\FAW_IPB\rb\as\fawIPB\prj\dsmpr\src\Cubas\rba_STM\src\rba_STM_Processing_iPB.c</t>
  </si>
  <si>
    <t>FAW_IPB1.1_Int\FAW_IPB\rb\as\fawIPB\prj\dsmpr\tst\CT\src\RBDSM_SWT_ComponentSwitch.c</t>
  </si>
  <si>
    <t>FAW_IPB1.1_Int\FAW_IPB\rb\as\fawIPB\prj\dsmpr\tst\CT\src\node\RBDSM_SWT_MS_Node.c</t>
  </si>
  <si>
    <t>FAW_IPB1.1_Int\FAW_IPB\rb\as\fawIPB\prj\dsmpr\tst\CT\src\stm\RBDSM_SWT_MS_STM.c</t>
  </si>
  <si>
    <t>FAW_IPB1.1_Int\FAW_IPB\rb\as\fawIPB\prj\dsmpr\src\RBRSS\src\RBRSS_ProjectConfiguration.c</t>
  </si>
  <si>
    <t>FAW_IPB1.1_Int\FAW_IPB\rb\as\fawIPB\prj\hswpr\src\RBUBExtSupply\src\RBUBExtSupply_Main.c</t>
  </si>
  <si>
    <t>FAW_IPB1.1_Int\FAW_IPB\rb\as\fawIPB\prj\netpr\src\XCP_HSW_release_build.c</t>
  </si>
  <si>
    <t>GWM_CP_Stream_Int\MainstreamF30\rb\as\gwm\core\app\net\scl\LDMFunctions\SCM\src\GWM_NET_SCL_Rx_SCM.c</t>
  </si>
  <si>
    <t>GWM_CP_Stream_Int\MainstreamF30\rb\as\gwm\core\app\net\scl\Callout\src\NET_Torque_Callout_GWM.c</t>
  </si>
  <si>
    <t>GWM_AB30_CP_Int\MainstreamF30\rb\as\gwm\core\app\dcom\RBAPLCust\src\common\RBAPLCUST_RoutineControl_PreconditionCheck.c</t>
  </si>
  <si>
    <t>Wrong databasse =&gt; Fixed. Waiting owner</t>
  </si>
  <si>
    <t>Owner confirm no impact</t>
  </si>
  <si>
    <t>-No impact (Reuse OPL)</t>
  </si>
  <si>
    <t>Cannot cover branch "/*4WD ACC/AEB function variants: 1~4/7~8/11~20/22/24~32*/"  at line 330 because l_RBVarcode_ST.RBVarCode_UB &lt; 24.</t>
  </si>
  <si>
    <t>RBHMI_Synchronisation_F30.c</t>
  </si>
  <si>
    <t>GAC_ESPHevX_HADHAP\CNMSHevXHADHAP\rb\as\gaig\core\app\net\RBScl\src</t>
  </si>
  <si>
    <t>-Owner confirm is no impact</t>
  </si>
  <si>
    <t>Can't cover false case of else if ((HapticBraking_Status_l == HapticBrakingStatus_DemandApplied)) at line #376 and true case of else at line #384 because HapticBraking_Status_l is a boolean value.
Can't cover false case of if ((NMSG_HmiSignal_ESCMalfunction_UB_l&gt;= RBA_COMSCL_Minimum_APP_ESCMalfunction_SP0_SC2_Tx)) at line #1952 and true case of else at line #1973 because NMSG_HmiSignal_ESCMalfunction_UB_l must &gt;= 2(RBA_COMSCL_Minimum_APP_ESCMalfunction_SP0_SC2_Tx value) to reach the condtition at line #1950
Can't cover false case of if ((NMSG_HmiSignal_ASRMalfunction_UB_l&gt;= RBA_COMSCL_Minimum_APP_ASRMalfunction_SP0_SC2_Tx)) at line #2200 and true case of else at line #2343 because NMSG_HmiSignal_ASRMalfunction_UB_l must &gt;= 2(RBA_COMSCL_Minimum_APP_ASRMalfunction_SP0_SC2_Tx value) to reach the condtition at line #2320
Can't cover false case of if ((NMSG_HmiSignal_ABSMalfunction_UB_l&gt;= RBA_COMSCL_Minimum_APP_ABSMalfunction_SP0_SC2_Tx)) at line #2322 and true case of else at line #2221 because NMSG_HmiSignal_ABSMalfunction_UB_l must &gt;= 2(RBA_COMSCL_Minimum_APP_ABSMalfunction_SP0_SC2_Tx value) to reach the condtition at line #2199
Can't cover false case of if ((NMSG_HmiSignal_AYCMalfunction_UB_l&gt;= RBA_COMSCL_Minimum_APP_AYCMalfunction_SP0_SC2_Tx)) at line #2479 and true case of else at line #2500 because NMSG_HmiSignal_AYCMalfunction_UB_l must &gt;= 2(RBA_COMSCL_Minimum_APP_AYCMalfunction_SP0_SC2_Tx value) to reach the condtition at line #2477</t>
  </si>
  <si>
    <t>Waiting owner</t>
  </si>
  <si>
    <t>GAC_Carbon_RPA_ESPHevx_Mainpath_BL05</t>
  </si>
  <si>
    <t>rb/as/gaig/prj/dsmpr/src/RBPduHandler_Callouts.c</t>
  </si>
  <si>
    <t>LSM_ESP_IB_Parking_Function_Config_Check_GAC</t>
  </si>
  <si>
    <t>VlcLsm_ReleaseParkStateEval</t>
  </si>
  <si>
    <t>V (1.1)</t>
  </si>
  <si>
    <t>V (1.8.147316.2.315.0)</t>
  </si>
  <si>
    <t>QIU Liqi (CC-AS/EVA-SW2-CN)</t>
  </si>
  <si>
    <t xml:space="preserve">-Can't cover for condition because the false case for this is cover in above condition </t>
  </si>
  <si>
    <t>rb.as.core.app.dsm</t>
  </si>
  <si>
    <t>rb.as.RenNis.suv.app.net</t>
  </si>
  <si>
    <t>rba.as.Bldr.RenNisCMFB</t>
  </si>
  <si>
    <t>RBVoltageHandler_HydraulicVoltageSupplyCommon</t>
  </si>
  <si>
    <t>NET_RBANDS_UserDefinedFunctions</t>
  </si>
  <si>
    <t>rba_ComScl_Scl_VDC_A116C_FD_Tx</t>
  </si>
  <si>
    <t>rba_ComScl_Scl_VDC_A132_Tx</t>
  </si>
  <si>
    <t>rba_ComScl_Scl_VDCCHK_VDC2TOOL_1_Tx</t>
  </si>
  <si>
    <t>rba_BldrCMP_22ReadDataByIdentifier</t>
  </si>
  <si>
    <t>rba_BldrCMP_Cfg_EncryptDecryptHash</t>
  </si>
  <si>
    <t>rba_BldrCmp_Cfg_PrjFunctions</t>
  </si>
  <si>
    <t>MT_006</t>
  </si>
  <si>
    <t>MT_018</t>
  </si>
  <si>
    <t>MT_067</t>
  </si>
  <si>
    <t>MT_074</t>
  </si>
  <si>
    <t>MT_080</t>
  </si>
  <si>
    <t>MT_017</t>
  </si>
  <si>
    <t>MT_027</t>
  </si>
  <si>
    <t>MT_033</t>
  </si>
  <si>
    <t>RN_CARBON</t>
  </si>
  <si>
    <t>Contact-point: Chae Yunhe (CC-AS/ESJ1-JP) ; Ohsaka Hiroshi (CC-AS/ESJ1-JP)</t>
  </si>
  <si>
    <t xml:space="preserve">#Line 221: Cannot cover MCDC case T-F because when length &gt; bitsize =&gt; line 219  false =&gt; line 221 can not reach
</t>
  </si>
  <si>
    <t>Phan The Nam</t>
  </si>
  <si>
    <t>Le Hong Phuc</t>
  </si>
  <si>
    <t>Nguyen Tran Hoang Huy</t>
  </si>
  <si>
    <t>Nguyen Minh Chuong</t>
  </si>
  <si>
    <t>phuc.le-hong</t>
  </si>
  <si>
    <t>chuong.nguyen-minh</t>
  </si>
  <si>
    <t>nam.phan-the</t>
  </si>
  <si>
    <t>huy.nguyen-hoang</t>
  </si>
  <si>
    <t>- No impact</t>
  </si>
  <si>
    <t>Not join project</t>
  </si>
  <si>
    <t>Exclude 4 new member</t>
  </si>
  <si>
    <t>RBDHP_PumpMotorActuationTimeLimitation</t>
  </si>
  <si>
    <t>RBDHP_ValveActuationTimeLimitation</t>
  </si>
  <si>
    <t>RBWAU_AdditionalSources</t>
  </si>
  <si>
    <t>NET_Adaptive_DLC_NIS</t>
  </si>
  <si>
    <t>NET_GenericInterfaces</t>
  </si>
  <si>
    <t>NET_VarDef_REN</t>
  </si>
  <si>
    <t>rba_ComScl_DlcCbk</t>
  </si>
  <si>
    <t>rba_ComScl_RxSignalCopy</t>
  </si>
  <si>
    <t>rba_ComScl_Scl_ADAS_A12C_FD_Rx</t>
  </si>
  <si>
    <t>rba_ComScl_Scl_ADAS_A160_FD_Rx</t>
  </si>
  <si>
    <t>rba_ComScl_Scl_ADAS_A4_Rx</t>
  </si>
  <si>
    <t>rba_ComScl_Scl_ATCU_A108C_FD_Rx</t>
  </si>
  <si>
    <t>rba_ComScl_Scl_ATCU_A110C_FD_Rx</t>
  </si>
  <si>
    <t>rba_ComScl_Scl_AVM_A122_FD_Rx</t>
  </si>
  <si>
    <t>rba_ComScl_Scl_BCM_A110_Rx</t>
  </si>
  <si>
    <t>rba_ComScl_Scl_BCM_A113_Rx</t>
  </si>
  <si>
    <t>rba_ComScl_Scl_BCM_A8_Rx</t>
  </si>
  <si>
    <t>rba_ComScl_Scl_CDM_A103_FD_Rx</t>
  </si>
  <si>
    <t>rba_ComScl_Scl_EBA_A101_FD_Rx</t>
  </si>
  <si>
    <t>rba_ComScl_Scl_ECM_A110C_FD_Rx</t>
  </si>
  <si>
    <t>rba_ComScl_Scl_EPKB_A1_FD_Tx</t>
  </si>
  <si>
    <t>rba_ComScl_Scl_USM_A101C_FD_Rx</t>
  </si>
  <si>
    <t>rba_ComScl_Scl_VDC_A01C_FD_Tx</t>
  </si>
  <si>
    <t>rba_ComScl_Scl_VDC_A04C_FD_Tx</t>
  </si>
  <si>
    <t>rba_ComScl_Scl_VDC_A05C_FD_Tx</t>
  </si>
  <si>
    <t>rba_ComScl_Scl_VDC_A110C_FD_Tx</t>
  </si>
  <si>
    <t>rba_ComScl_Scl_VDC_A113C_FD_Tx</t>
  </si>
  <si>
    <t>rba_ComScl_Scl_VDC_A114_Tx</t>
  </si>
  <si>
    <t>rba_ComScl_Scl_VDC_A117C_FD_Tx</t>
  </si>
  <si>
    <t>rba_ComScl_Scl_VDC_A118_Tx</t>
  </si>
  <si>
    <t>rba_ComScl_Scl_VDC_A120_FD_Tx</t>
  </si>
  <si>
    <t>rba_ComScl_Scl_VDC_A133_Tx</t>
  </si>
  <si>
    <t>rba_ComScl_Scl_VDCCHK_VDC2TOOL_2_Tx</t>
  </si>
  <si>
    <t>rba_BldrCMP_10DiagnosticSessionControl</t>
  </si>
  <si>
    <t>rba_BldrCMP_11EcuReset</t>
  </si>
  <si>
    <t>rba_BldrCMP_19ReadDTCInformation</t>
  </si>
  <si>
    <t>rba_BldrCMP_27SecurityAccess</t>
  </si>
  <si>
    <t>rba_BldrCMP_2EWriteDataByIdentifier</t>
  </si>
  <si>
    <t>rba_BldrCMP_31RoutineControl</t>
  </si>
  <si>
    <t>rba_BldrCMP_34RequestDownload</t>
  </si>
  <si>
    <t>rba_BldrCMP_36TransferData</t>
  </si>
  <si>
    <t>rba_BldrCMP_37RequestTransferExit</t>
  </si>
  <si>
    <t>rba_BldrCmp_Cfg_FlashIf</t>
  </si>
  <si>
    <t>rba_BldrCMP_Cfg_NvmIf</t>
  </si>
  <si>
    <t>rba_BldrMemCpy</t>
  </si>
  <si>
    <t>rba_BldrPrj_Main</t>
  </si>
  <si>
    <t>rb.as.core.app.dhp</t>
  </si>
  <si>
    <t>rb.as.core.hwp.hsw.ecubase.functional.rbwau</t>
  </si>
  <si>
    <t>MT_002</t>
  </si>
  <si>
    <t>MT_004</t>
  </si>
  <si>
    <t>MT_008</t>
  </si>
  <si>
    <t>MT_013</t>
  </si>
  <si>
    <t>MT_015</t>
  </si>
  <si>
    <t>MT_019</t>
  </si>
  <si>
    <t>MT_024</t>
  </si>
  <si>
    <t>MT_032</t>
  </si>
  <si>
    <t>MT_034</t>
  </si>
  <si>
    <t>MT_036</t>
  </si>
  <si>
    <t>MT_037</t>
  </si>
  <si>
    <t>MT_038</t>
  </si>
  <si>
    <t>MT_039</t>
  </si>
  <si>
    <t>MT_040</t>
  </si>
  <si>
    <t>MT_041</t>
  </si>
  <si>
    <t>MT_042</t>
  </si>
  <si>
    <t>MT_043</t>
  </si>
  <si>
    <t>MT_045</t>
  </si>
  <si>
    <t>MT_047</t>
  </si>
  <si>
    <t>MT_049</t>
  </si>
  <si>
    <t>MT_051</t>
  </si>
  <si>
    <t>MT_059</t>
  </si>
  <si>
    <t>MT_060</t>
  </si>
  <si>
    <t>MT_061</t>
  </si>
  <si>
    <t>MT_062</t>
  </si>
  <si>
    <t>MT_064</t>
  </si>
  <si>
    <t>MT_065</t>
  </si>
  <si>
    <t>MT_066</t>
  </si>
  <si>
    <t>MT_068</t>
  </si>
  <si>
    <t>MT_069</t>
  </si>
  <si>
    <t>MT_070</t>
  </si>
  <si>
    <t>MT_075</t>
  </si>
  <si>
    <t>MT_081</t>
  </si>
  <si>
    <t>MT_014</t>
  </si>
  <si>
    <t>MT_016</t>
  </si>
  <si>
    <t>MT_020</t>
  </si>
  <si>
    <t>MT_021</t>
  </si>
  <si>
    <t>MT_022</t>
  </si>
  <si>
    <t>MT_023</t>
  </si>
  <si>
    <t>MT_028</t>
  </si>
  <si>
    <t>MT_031</t>
  </si>
  <si>
    <t>Delta&gt;New</t>
  </si>
  <si>
    <t>New</t>
  </si>
  <si>
    <t>Delta</t>
  </si>
  <si>
    <t>- Release phase 1: complete 5/28/2020</t>
  </si>
  <si>
    <t>- Get assignment phase 2: 5/28/2020</t>
  </si>
  <si>
    <t>RN_CARBON_BB80081</t>
  </si>
  <si>
    <t>RN_CARBON_BB80081_BLDR</t>
  </si>
  <si>
    <t>1-June</t>
  </si>
  <si>
    <t>Join project since 28-May-2020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</si>
</sst>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1B6FB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7" fillId="7" borderId="0" applyNumberFormat="0" applyBorder="0" applyAlignment="0" applyProtection="0"/>
  </cellStyleXfs>
  <cellXfs count="17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4" fillId="0" borderId="1" xfId="0" applyNumberFormat="1" applyFont="1" applyFill="1" applyBorder="1" applyAlignment="1" applyProtection="1">
      <alignment horizontal="left" vertical="top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5" xfId="0" quotePrefix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left" vertical="top"/>
    </xf>
    <xf numFmtId="0" fontId="8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2" fillId="0" borderId="0" xfId="0" applyFont="1" applyAlignment="1">
      <alignment vertical="top"/>
    </xf>
    <xf numFmtId="0" fontId="7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2" fillId="4" borderId="1" xfId="0" applyFont="1" applyFill="1" applyBorder="1" applyAlignment="1">
      <alignment vertical="top"/>
    </xf>
    <xf numFmtId="0" fontId="2" fillId="0" borderId="1" xfId="0" quotePrefix="1" applyFont="1" applyBorder="1" applyAlignment="1">
      <alignment horizontal="left" vertical="top"/>
    </xf>
    <xf numFmtId="0" fontId="9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10" fillId="0" borderId="0" xfId="0" applyFont="1" applyAlignment="1">
      <alignment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vertical="top"/>
    </xf>
    <xf numFmtId="0" fontId="2" fillId="5" borderId="1" xfId="0" applyFont="1" applyFill="1" applyBorder="1" applyAlignment="1">
      <alignment vertical="top"/>
    </xf>
    <xf numFmtId="0" fontId="13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4" fillId="10" borderId="1" xfId="0" applyNumberFormat="1" applyFont="1" applyFill="1" applyBorder="1" applyAlignment="1" applyProtection="1">
      <alignment horizontal="left" vertical="top"/>
    </xf>
    <xf numFmtId="0" fontId="0" fillId="2" borderId="0" xfId="0" applyFill="1"/>
    <xf numFmtId="0" fontId="15" fillId="0" borderId="1" xfId="0" quotePrefix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0" xfId="0" quotePrefix="1" applyFont="1" applyBorder="1" applyAlignment="1">
      <alignment horizontal="left" vertical="top"/>
    </xf>
    <xf numFmtId="0" fontId="4" fillId="13" borderId="1" xfId="0" applyNumberFormat="1" applyFont="1" applyFill="1" applyBorder="1" applyAlignment="1" applyProtection="1">
      <alignment horizontal="left" vertical="top"/>
    </xf>
    <xf numFmtId="0" fontId="4" fillId="14" borderId="1" xfId="0" applyNumberFormat="1" applyFont="1" applyFill="1" applyBorder="1" applyAlignment="1" applyProtection="1">
      <alignment horizontal="left" vertical="top"/>
    </xf>
    <xf numFmtId="0" fontId="16" fillId="0" borderId="1" xfId="0" quotePrefix="1" applyFont="1" applyBorder="1" applyAlignment="1">
      <alignment horizontal="left" vertical="top"/>
    </xf>
    <xf numFmtId="0" fontId="4" fillId="15" borderId="1" xfId="0" applyNumberFormat="1" applyFont="1" applyFill="1" applyBorder="1" applyAlignment="1" applyProtection="1">
      <alignment horizontal="left" vertical="top"/>
    </xf>
    <xf numFmtId="0" fontId="4" fillId="16" borderId="1" xfId="0" applyNumberFormat="1" applyFont="1" applyFill="1" applyBorder="1" applyAlignment="1" applyProtection="1">
      <alignment horizontal="left" vertical="top"/>
    </xf>
    <xf numFmtId="0" fontId="17" fillId="0" borderId="1" xfId="0" applyFont="1" applyBorder="1" applyAlignment="1">
      <alignment horizontal="left" vertical="top"/>
    </xf>
    <xf numFmtId="0" fontId="0" fillId="12" borderId="1" xfId="0" applyFont="1" applyFill="1" applyBorder="1" applyAlignment="1">
      <alignment horizontal="left" vertical="top"/>
    </xf>
    <xf numFmtId="0" fontId="16" fillId="0" borderId="1" xfId="0" quotePrefix="1" applyFont="1" applyFill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0" fillId="0" borderId="0" xfId="0" applyFill="1"/>
    <xf numFmtId="0" fontId="16" fillId="0" borderId="0" xfId="0" applyFont="1"/>
    <xf numFmtId="0" fontId="16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8" fillId="0" borderId="0" xfId="0" quotePrefix="1" applyFont="1"/>
    <xf numFmtId="0" fontId="17" fillId="0" borderId="1" xfId="0" applyFont="1" applyFill="1" applyBorder="1" applyAlignment="1">
      <alignment horizontal="left" vertical="top"/>
    </xf>
    <xf numFmtId="0" fontId="17" fillId="0" borderId="1" xfId="0" quotePrefix="1" applyFont="1" applyFill="1" applyBorder="1" applyAlignment="1">
      <alignment horizontal="left" vertical="top"/>
    </xf>
    <xf numFmtId="0" fontId="17" fillId="11" borderId="1" xfId="0" quotePrefix="1" applyFont="1" applyFill="1" applyBorder="1" applyAlignment="1">
      <alignment horizontal="left" vertical="top"/>
    </xf>
    <xf numFmtId="0" fontId="17" fillId="0" borderId="0" xfId="0" applyFont="1" applyBorder="1"/>
    <xf numFmtId="0" fontId="17" fillId="0" borderId="1" xfId="0" quotePrefix="1" applyFont="1" applyBorder="1" applyAlignment="1">
      <alignment horizontal="left" vertical="top"/>
    </xf>
    <xf numFmtId="0" fontId="0" fillId="0" borderId="0" xfId="0" applyFont="1" applyFill="1"/>
    <xf numFmtId="0" fontId="2" fillId="0" borderId="1" xfId="0" quotePrefix="1" applyFont="1" applyFill="1" applyBorder="1" applyAlignment="1">
      <alignment horizontal="left" vertical="top"/>
    </xf>
    <xf numFmtId="164" fontId="19" fillId="0" borderId="1" xfId="0" applyNumberFormat="1" applyFont="1" applyFill="1" applyBorder="1" applyAlignment="1">
      <alignment horizontal="left" vertical="top"/>
    </xf>
    <xf numFmtId="10" fontId="19" fillId="0" borderId="1" xfId="0" applyNumberFormat="1" applyFont="1" applyFill="1" applyBorder="1" applyAlignment="1">
      <alignment horizontal="left" vertical="top"/>
    </xf>
    <xf numFmtId="0" fontId="19" fillId="0" borderId="0" xfId="0" applyFont="1" applyFill="1"/>
    <xf numFmtId="0" fontId="19" fillId="0" borderId="1" xfId="0" applyFont="1" applyFill="1" applyBorder="1" applyAlignment="1">
      <alignment horizontal="left" vertical="top"/>
    </xf>
    <xf numFmtId="0" fontId="19" fillId="0" borderId="1" xfId="0" quotePrefix="1" applyFont="1" applyFill="1" applyBorder="1" applyAlignment="1">
      <alignment horizontal="left" vertical="top"/>
    </xf>
    <xf numFmtId="0" fontId="20" fillId="0" borderId="1" xfId="0" quotePrefix="1" applyFont="1" applyFill="1" applyBorder="1" applyAlignment="1">
      <alignment horizontal="left" vertical="top"/>
    </xf>
    <xf numFmtId="0" fontId="19" fillId="0" borderId="1" xfId="0" applyFont="1" applyBorder="1" applyAlignment="1">
      <alignment horizontal="left" vertical="top"/>
    </xf>
    <xf numFmtId="0" fontId="19" fillId="0" borderId="1" xfId="0" quotePrefix="1" applyFont="1" applyBorder="1" applyAlignment="1">
      <alignment horizontal="left" vertical="top"/>
    </xf>
    <xf numFmtId="0" fontId="20" fillId="0" borderId="0" xfId="0" applyFont="1"/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quotePrefix="1" applyFont="1"/>
    <xf numFmtId="0" fontId="23" fillId="15" borderId="1" xfId="0" applyNumberFormat="1" applyFont="1" applyFill="1" applyBorder="1" applyAlignment="1" applyProtection="1">
      <alignment horizontal="left" vertical="top"/>
    </xf>
    <xf numFmtId="0" fontId="24" fillId="8" borderId="1" xfId="0" quotePrefix="1" applyFont="1" applyFill="1" applyBorder="1" applyAlignment="1">
      <alignment horizontal="left" vertical="top"/>
    </xf>
    <xf numFmtId="0" fontId="24" fillId="11" borderId="1" xfId="0" quotePrefix="1" applyFont="1" applyFill="1" applyBorder="1" applyAlignment="1">
      <alignment horizontal="left" vertical="top"/>
    </xf>
    <xf numFmtId="0" fontId="24" fillId="0" borderId="1" xfId="0" applyFont="1" applyBorder="1" applyAlignment="1">
      <alignment horizontal="left" vertical="top"/>
    </xf>
    <xf numFmtId="0" fontId="22" fillId="2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top"/>
    </xf>
    <xf numFmtId="164" fontId="24" fillId="0" borderId="1" xfId="0" applyNumberFormat="1" applyFont="1" applyFill="1" applyBorder="1" applyAlignment="1">
      <alignment horizontal="left" vertical="top"/>
    </xf>
    <xf numFmtId="10" fontId="24" fillId="0" borderId="1" xfId="0" applyNumberFormat="1" applyFont="1" applyFill="1" applyBorder="1" applyAlignment="1">
      <alignment horizontal="left" vertical="top"/>
    </xf>
    <xf numFmtId="0" fontId="24" fillId="0" borderId="0" xfId="0" applyFont="1" applyFill="1"/>
    <xf numFmtId="0" fontId="24" fillId="0" borderId="1" xfId="0" quotePrefix="1" applyFont="1" applyFill="1" applyBorder="1" applyAlignment="1">
      <alignment horizontal="left" vertical="top"/>
    </xf>
    <xf numFmtId="0" fontId="22" fillId="0" borderId="1" xfId="0" quotePrefix="1" applyFont="1" applyFill="1" applyBorder="1" applyAlignment="1">
      <alignment horizontal="left" vertical="top"/>
    </xf>
    <xf numFmtId="16" fontId="0" fillId="0" borderId="1" xfId="0" quotePrefix="1" applyNumberFormat="1" applyFill="1" applyBorder="1" applyAlignment="1">
      <alignment horizontal="center" vertical="center"/>
    </xf>
    <xf numFmtId="0" fontId="4" fillId="17" borderId="1" xfId="0" applyNumberFormat="1" applyFont="1" applyFill="1" applyBorder="1" applyAlignment="1" applyProtection="1">
      <alignment horizontal="left" vertical="top"/>
    </xf>
    <xf numFmtId="0" fontId="4" fillId="18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24" fillId="5" borderId="1" xfId="0" applyFont="1" applyFill="1" applyBorder="1" applyAlignment="1">
      <alignment horizontal="left" vertical="top"/>
    </xf>
    <xf numFmtId="0" fontId="24" fillId="0" borderId="1" xfId="0" quotePrefix="1" applyFont="1" applyBorder="1" applyAlignment="1">
      <alignment horizontal="left" vertical="top"/>
    </xf>
    <xf numFmtId="0" fontId="22" fillId="5" borderId="1" xfId="0" quotePrefix="1" applyFont="1" applyFill="1" applyBorder="1" applyAlignment="1">
      <alignment horizontal="left" vertical="top"/>
    </xf>
    <xf numFmtId="0" fontId="22" fillId="0" borderId="0" xfId="0" applyFont="1"/>
    <xf numFmtId="0" fontId="22" fillId="2" borderId="1" xfId="0" applyFont="1" applyFill="1" applyBorder="1" applyAlignment="1">
      <alignment horizontal="center" vertical="center"/>
    </xf>
    <xf numFmtId="0" fontId="23" fillId="0" borderId="0" xfId="0" quotePrefix="1" applyFont="1"/>
    <xf numFmtId="0" fontId="15" fillId="0" borderId="1" xfId="0" quotePrefix="1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4" fillId="20" borderId="1" xfId="0" applyNumberFormat="1" applyFont="1" applyFill="1" applyBorder="1" applyAlignment="1" applyProtection="1">
      <alignment horizontal="left" vertical="top"/>
    </xf>
    <xf numFmtId="0" fontId="25" fillId="0" borderId="1" xfId="0" applyFont="1" applyFill="1" applyBorder="1" applyAlignment="1">
      <alignment horizontal="left" vertical="top"/>
    </xf>
    <xf numFmtId="164" fontId="25" fillId="0" borderId="1" xfId="0" applyNumberFormat="1" applyFont="1" applyFill="1" applyBorder="1" applyAlignment="1">
      <alignment horizontal="left" vertical="top"/>
    </xf>
    <xf numFmtId="0" fontId="25" fillId="0" borderId="0" xfId="0" applyFont="1" applyFill="1"/>
    <xf numFmtId="0" fontId="27" fillId="0" borderId="1" xfId="0" quotePrefix="1" applyFont="1" applyFill="1" applyBorder="1" applyAlignment="1">
      <alignment horizontal="left" vertical="top"/>
    </xf>
    <xf numFmtId="164" fontId="24" fillId="0" borderId="1" xfId="0" applyNumberFormat="1" applyFont="1" applyBorder="1" applyAlignment="1">
      <alignment horizontal="left" vertical="top"/>
    </xf>
    <xf numFmtId="10" fontId="24" fillId="0" borderId="1" xfId="0" applyNumberFormat="1" applyFont="1" applyBorder="1" applyAlignment="1">
      <alignment horizontal="left" vertical="top"/>
    </xf>
    <xf numFmtId="0" fontId="4" fillId="3" borderId="1" xfId="0" applyNumberFormat="1" applyFont="1" applyFill="1" applyBorder="1" applyAlignment="1" applyProtection="1">
      <alignment horizontal="left" vertical="top"/>
    </xf>
    <xf numFmtId="164" fontId="0" fillId="19" borderId="1" xfId="0" applyNumberFormat="1" applyFill="1" applyBorder="1" applyAlignment="1">
      <alignment horizontal="left" vertical="top"/>
    </xf>
    <xf numFmtId="0" fontId="26" fillId="14" borderId="1" xfId="0" applyNumberFormat="1" applyFont="1" applyFill="1" applyBorder="1" applyAlignment="1" applyProtection="1">
      <alignment horizontal="left" vertical="top"/>
    </xf>
    <xf numFmtId="0" fontId="22" fillId="0" borderId="1" xfId="0" quotePrefix="1" applyFont="1" applyBorder="1" applyAlignment="1">
      <alignment horizontal="left" vertical="top"/>
    </xf>
    <xf numFmtId="0" fontId="24" fillId="2" borderId="1" xfId="0" applyFont="1" applyFill="1" applyBorder="1" applyAlignment="1">
      <alignment horizontal="left" vertical="top"/>
    </xf>
    <xf numFmtId="0" fontId="0" fillId="0" borderId="0" xfId="0" applyBorder="1" applyAlignment="1"/>
    <xf numFmtId="0" fontId="0" fillId="0" borderId="0" xfId="0" quotePrefix="1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10" fontId="0" fillId="0" borderId="1" xfId="0" quotePrefix="1" applyNumberFormat="1" applyBorder="1" applyAlignment="1">
      <alignment horizontal="left" vertical="top"/>
    </xf>
    <xf numFmtId="0" fontId="0" fillId="0" borderId="1" xfId="0" quotePrefix="1" applyFill="1" applyBorder="1" applyAlignment="1"/>
    <xf numFmtId="0" fontId="4" fillId="12" borderId="1" xfId="0" applyNumberFormat="1" applyFont="1" applyFill="1" applyBorder="1" applyAlignment="1" applyProtection="1">
      <alignment horizontal="left" vertical="top"/>
    </xf>
    <xf numFmtId="0" fontId="22" fillId="2" borderId="1" xfId="0" quotePrefix="1" applyFont="1" applyFill="1" applyBorder="1" applyAlignment="1">
      <alignment horizontal="left" vertical="top"/>
    </xf>
    <xf numFmtId="0" fontId="22" fillId="2" borderId="1" xfId="0" applyFont="1" applyFill="1" applyBorder="1" applyAlignment="1">
      <alignment horizontal="left" vertical="top"/>
    </xf>
    <xf numFmtId="0" fontId="4" fillId="5" borderId="0" xfId="0" applyFont="1" applyFill="1"/>
    <xf numFmtId="0" fontId="0" fillId="5" borderId="0" xfId="0" applyFont="1" applyFill="1"/>
    <xf numFmtId="0" fontId="4" fillId="21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7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5" Type="http://schemas.openxmlformats.org/officeDocument/2006/relationships/revisionLog" Target="revisionLog5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9F1BFA7C-39CF-4045-93CB-ADFED95BF9A5}" diskRevisions="1" revisionId="10" version="6">
  <header guid="{32EFFD41-74AD-4C7B-B01F-5ABE7ACADFCD}" dateTime="2020-05-28T14:45:30" maxSheetId="11" userName="EXTERNAL Nguyen Trung Hieu (Ban Vien, RBVH/EPS45)" r:id="rId1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7F0BB84F-15D7-4A5B-BCDF-9B6801C3C350}" dateTime="2020-05-28T14:45:32" maxSheetId="11" userName="EXTERNAL Nguyen Trung Hieu (Ban Vien, RBVH/EPS45)" r:id="rId2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CD1F9DD-F548-4CED-8A11-019CDB674469}" dateTime="2020-05-28T14:45:34" maxSheetId="11" userName="EXTERNAL Nguyen Trung Hieu (Ban Vien, RBVH/EPS45)" r:id="rId3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A6A2299-2952-4A1A-83A0-239629CC0F5A}" dateTime="2020-05-28T14:45:56" maxSheetId="11" userName="EXTERNAL Nguyen Trung Hieu (Ban Vien, RBVH/EPS45)" r:id="rId4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0EA95087-8DFA-4B50-9129-CCD0661B37D1}" dateTime="2020-05-28T14:46:34" maxSheetId="11" userName="EXTERNAL Nguyen Trung Hieu (Ban Vien, RBVH/EPS45)" r:id="rId5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  <header guid="{9F1BFA7C-39CF-4045-93CB-ADFED95BF9A5}" dateTime="2020-05-28T14:55:45" maxSheetId="11" userName="gup7hc" r:id="rId6">
    <sheetIdMap count="10">
      <sheetId val="1"/>
      <sheetId val="2"/>
      <sheetId val="3"/>
      <sheetId val="4"/>
      <sheetId val="5"/>
      <sheetId val="6"/>
      <sheetId val="7"/>
      <sheetId val="8"/>
      <sheetId val="9"/>
      <sheetId val="10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0EE037-F5E5-47AF-896A-0F6222879EBC}" action="delete"/>
  <rdn rId="0" localSheetId="1" customView="1" name="Z_970EE037_F5E5_47AF_896A_0F6222879EBC_.wvu.FilterData" hidden="1" oldHidden="1">
    <formula>Merged_COEM!$B$59:$AN$318</formula>
    <oldFormula>Merged_COEM!$B$59:$AN$318</oldFormula>
  </rdn>
  <rdn rId="0" localSheetId="2" customView="1" name="Z_970EE037_F5E5_47AF_896A_0F6222879EBC_.wvu.FilterData" hidden="1" oldHidden="1">
    <formula>Merged_JOEM!$B$59:$AN$68</formula>
    <oldFormula>Merged_JOEM!$B$59:$AN$68</oldFormula>
  </rdn>
  <rcv guid="{970EE037-F5E5-47AF-896A-0F6222879EBC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B3E6719-EACB-4D2C-89C1-05FFAB6020FD}" action="delete"/>
  <rdn rId="0" localSheetId="1" customView="1" name="Z_3B3E6719_EACB_4D2C_89C1_05FFAB6020FD_.wvu.FilterData" hidden="1" oldHidden="1">
    <formula>Merged_COEM!$B$59:$AN$318</formula>
    <oldFormula>Merged_COEM!$B$59:$AN$318</oldFormula>
  </rdn>
  <rdn rId="0" localSheetId="2" customView="1" name="Z_3B3E6719_EACB_4D2C_89C1_05FFAB6020FD_.wvu.FilterData" hidden="1" oldHidden="1">
    <formula>Merged_JOEM!$B$59:$AN$68</formula>
    <oldFormula>Merged_JOEM!$B$59:$AN$151</oldFormula>
  </rdn>
  <rcv guid="{3B3E6719-EACB-4D2C-89C1-05FFAB6020FD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3">
  <userInfo guid="{9F1BFA7C-39CF-4045-93CB-ADFED95BF9A5}" name="gup7hc" id="-630739913" dateTime="2020-05-28T14:55:43"/>
  <userInfo guid="{9F1BFA7C-39CF-4045-93CB-ADFED95BF9A5}" name="EXTERNAL Nguyen Tuan Duong (Ban Vien, RBVH/EPS45)" id="-567377964" dateTime="2020-05-28T15:08:09"/>
  <userInfo guid="{9F1BFA7C-39CF-4045-93CB-ADFED95BF9A5}" name="NguyenBang" id="-597998621" dateTime="2020-05-28T18:34:08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.bin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10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18.bin"/><Relationship Id="rId9" Type="http://schemas.openxmlformats.org/officeDocument/2006/relationships/printerSettings" Target="../printerSettings/printerSettings2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3.bin"/><Relationship Id="rId3" Type="http://schemas.openxmlformats.org/officeDocument/2006/relationships/printerSettings" Target="../printerSettings/printerSettings28.bin"/><Relationship Id="rId7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11" Type="http://schemas.openxmlformats.org/officeDocument/2006/relationships/printerSettings" Target="../printerSettings/printerSettings36.bin"/><Relationship Id="rId5" Type="http://schemas.openxmlformats.org/officeDocument/2006/relationships/printerSettings" Target="../printerSettings/printerSettings30.bin"/><Relationship Id="rId10" Type="http://schemas.openxmlformats.org/officeDocument/2006/relationships/printerSettings" Target="../printerSettings/printerSettings35.bin"/><Relationship Id="rId4" Type="http://schemas.openxmlformats.org/officeDocument/2006/relationships/printerSettings" Target="../printerSettings/printerSettings29.bin"/><Relationship Id="rId9" Type="http://schemas.openxmlformats.org/officeDocument/2006/relationships/printerSettings" Target="../printerSettings/printerSettings3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7.bin"/><Relationship Id="rId3" Type="http://schemas.openxmlformats.org/officeDocument/2006/relationships/printerSettings" Target="../printerSettings/printerSettings42.bin"/><Relationship Id="rId7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6" Type="http://schemas.openxmlformats.org/officeDocument/2006/relationships/printerSettings" Target="../printerSettings/printerSettings45.bin"/><Relationship Id="rId11" Type="http://schemas.openxmlformats.org/officeDocument/2006/relationships/printerSettings" Target="../printerSettings/printerSettings50.bin"/><Relationship Id="rId5" Type="http://schemas.openxmlformats.org/officeDocument/2006/relationships/printerSettings" Target="../printerSettings/printerSettings44.bin"/><Relationship Id="rId10" Type="http://schemas.openxmlformats.org/officeDocument/2006/relationships/printerSettings" Target="../printerSettings/printerSettings49.bin"/><Relationship Id="rId4" Type="http://schemas.openxmlformats.org/officeDocument/2006/relationships/printerSettings" Target="../printerSettings/printerSettings43.bin"/><Relationship Id="rId9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</sheetPr>
  <dimension ref="A1:AN339"/>
  <sheetViews>
    <sheetView tabSelected="1" topLeftCell="L38" zoomScale="70" zoomScaleNormal="100" workbookViewId="0">
      <selection activeCell="X49" sqref="X49"/>
    </sheetView>
  </sheetViews>
  <sheetFormatPr defaultRowHeight="15" x14ac:dyDescent="0.25"/>
  <cols>
    <col min="3" max="3" width="10.85546875" customWidth="1"/>
    <col min="4" max="4" width="12.28515625" bestFit="1" customWidth="1"/>
    <col min="5" max="5" width="22.42578125" customWidth="1"/>
    <col min="6" max="6" width="39.5703125" customWidth="1"/>
    <col min="7" max="7" width="10.42578125" customWidth="1"/>
    <col min="8" max="8" width="12.140625" bestFit="1" customWidth="1"/>
    <col min="9" max="9" width="43.85546875" customWidth="1"/>
    <col min="10" max="10" width="12" bestFit="1" customWidth="1"/>
    <col min="11" max="11" width="12" customWidth="1"/>
    <col min="12" max="12" width="10.7109375" customWidth="1"/>
    <col min="13" max="13" width="13" customWidth="1"/>
    <col min="14" max="14" width="48.7109375" customWidth="1"/>
    <col min="15" max="15" width="12.7109375" customWidth="1"/>
    <col min="16" max="16" width="31.85546875" customWidth="1"/>
    <col min="17" max="17" width="1.85546875" customWidth="1"/>
    <col min="18" max="18" width="10.42578125" customWidth="1"/>
    <col min="19" max="19" width="21.42578125" bestFit="1" customWidth="1"/>
    <col min="20" max="20" width="6.28515625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1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7" customWidth="1"/>
    <col min="38" max="38" width="48.85546875" customWidth="1"/>
    <col min="39" max="39" width="35.85546875" bestFit="1" customWidth="1"/>
    <col min="40" max="40" width="45.140625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212</v>
      </c>
      <c r="H3" s="62" t="s">
        <v>24</v>
      </c>
      <c r="J3" s="68" t="s">
        <v>39</v>
      </c>
    </row>
    <row r="4" spans="1:12" x14ac:dyDescent="0.25">
      <c r="B4" s="63">
        <v>1</v>
      </c>
      <c r="C4" s="73" t="s">
        <v>6</v>
      </c>
      <c r="D4" s="65">
        <f>SUMIFS($W$60:$W$318,$D$60:$D$318,Table!$D$3,$S$60:$S$318,C4)</f>
        <v>4265</v>
      </c>
      <c r="E4" s="65">
        <f>SUMIFS($X$60:$X$318,$D$60:$D$318,Table!$D$3,$S$60:$S$318,C4)-SUM(SUMIFS($X$60:$X$318,$D$60:$D$318,Table!$D$3,$S$60:$S$318,C4,$AA$60:$AA$318,{"Ongoing","N\A",""}))</f>
        <v>1552</v>
      </c>
      <c r="F4" s="65">
        <f>1/8*(SUMIFS($Z$60:$Z$318,$D$60:$D$318,Table!$D$3,$S$60:$S$318,C4)-SUM(SUMIFS($Z$60:$Z$318,$D$60:$D$318,Table!$D$3,$S$60:$S$318,C4,$AA$60:$AA$318,{"Ongoing","N/A",""})))</f>
        <v>1.125</v>
      </c>
      <c r="G4" s="65">
        <f>IF(ISERROR(E4/(F4)),"N/A",E4/F4)</f>
        <v>1379.5555555555557</v>
      </c>
      <c r="H4" s="66">
        <f>IF(ISERROR(E4/D4),"N/A",E4/D4)</f>
        <v>0.36389214536928488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SUMIFS($W$60:$W$318,$D$60:$D$318,Table!$D$3,$S$60:$S$318,C5)</f>
        <v>2152</v>
      </c>
      <c r="E5" s="65">
        <f>SUMIFS($X$60:$X$318,$D$60:$D$318,Table!$D$3,$S$60:$S$318,C5)-SUM(SUMIFS($X$60:$X$318,$D$60:$D$318,Table!$D$3,$S$60:$S$318,C5,$AA$60:$AA$318,{"Ongoing","N\A",""}))</f>
        <v>1891</v>
      </c>
      <c r="F5" s="65">
        <f>1/8*(SUMIFS($Z$60:$Z$318,$D$60:$D$318,Table!$D$3,$S$60:$S$318,C5)-SUM(SUMIFS($Z$60:$Z$318,$D$60:$D$318,Table!$D$3,$S$60:$S$318,C5,$AA$60:$AA$318,{"Ongoing","N/A",""})))</f>
        <v>1.5</v>
      </c>
      <c r="G5" s="65">
        <f t="shared" ref="G5:G6" si="0">IF(ISERROR(E5/(F5)),"N/A",E5/F5)</f>
        <v>1260.6666666666667</v>
      </c>
      <c r="H5" s="66">
        <f t="shared" ref="H5:H18" si="1">IF(ISERROR(E5/D5),"N/A",E5/D5)</f>
        <v>0.87871747211895912</v>
      </c>
      <c r="L5" s="23" t="s">
        <v>40</v>
      </c>
    </row>
    <row r="6" spans="1:12" x14ac:dyDescent="0.25">
      <c r="B6" s="63">
        <v>3</v>
      </c>
      <c r="C6" s="73" t="s">
        <v>65</v>
      </c>
      <c r="D6" s="65">
        <f>SUMIFS($W$60:$W$318,$D$60:$D$318,Table!$D$3,$S$60:$S$318,C6)</f>
        <v>4751</v>
      </c>
      <c r="E6" s="65">
        <f>SUMIFS($X$60:$X$318,$D$60:$D$318,Table!$D$3,$S$60:$S$318,C6)-SUM(SUMIFS($X$60:$X$318,$D$60:$D$318,Table!$D$3,$S$60:$S$318,C6,$AA$60:$AA$318,{"Ongoing","N\A",""}))</f>
        <v>4002</v>
      </c>
      <c r="F6" s="65">
        <f>1/8*(SUMIFS($Z$60:$Z$318,$D$60:$D$318,Table!$D$3,$S$60:$S$318,C6)-SUM(SUMIFS($Z$60:$Z$318,$D$60:$D$318,Table!$D$3,$S$60:$S$318,C6,$AA$60:$AA$318,{"Ongoing","N/A",""})))</f>
        <v>2.0499999999999998</v>
      </c>
      <c r="G6" s="65">
        <f t="shared" si="0"/>
        <v>1952.1951219512198</v>
      </c>
      <c r="H6" s="66">
        <f t="shared" si="1"/>
        <v>0.84234897916228157</v>
      </c>
      <c r="L6" s="23" t="s">
        <v>97</v>
      </c>
    </row>
    <row r="7" spans="1:12" x14ac:dyDescent="0.25">
      <c r="B7" s="63">
        <v>4</v>
      </c>
      <c r="C7" s="77" t="s">
        <v>66</v>
      </c>
      <c r="D7" s="65">
        <f>SUMIFS($W$60:$W$318,$D$60:$D$318,Table!$D$3,$S$60:$S$318,C7)</f>
        <v>0</v>
      </c>
      <c r="E7" s="65">
        <f>SUMIFS($X$60:$X$318,$D$60:$D$318,Table!$D$3,$S$60:$S$318,C7)-SUM(SUMIFS($X$60:$X$318,$D$60:$D$318,Table!$D$3,$S$60:$S$318,C7,$AA$60:$AA$318,{"Ongoing","N\A",""}))</f>
        <v>0</v>
      </c>
      <c r="F7" s="65">
        <f>1/8*(SUMIFS($Z$60:$Z$318,$D$60:$D$318,Table!$D$3,$S$60:$S$318,C7)-SUM(SUMIFS($Z$60:$Z$318,$D$60:$D$318,Table!$D$3,$S$60:$S$318,C7,$AA$60:$AA$318,{"Ongoing","N/A",""})))</f>
        <v>0</v>
      </c>
      <c r="G7" s="65" t="str">
        <f t="shared" ref="G7:G17" si="2">IF(ISERROR(E7/(F7)),"N/A",E7/F7)</f>
        <v>N/A</v>
      </c>
      <c r="H7" s="66" t="str">
        <f t="shared" ref="H7:H17" si="3">IF(ISERROR(E7/D7),"N/A",E7/D7)</f>
        <v>N/A</v>
      </c>
      <c r="K7" s="68" t="s">
        <v>42</v>
      </c>
    </row>
    <row r="8" spans="1:12" x14ac:dyDescent="0.25">
      <c r="B8" s="63">
        <v>5</v>
      </c>
      <c r="C8" s="73" t="s">
        <v>67</v>
      </c>
      <c r="D8" s="65">
        <f>SUMIFS($W$60:$W$318,$D$60:$D$318,Table!$D$3,$S$60:$S$318,C8)</f>
        <v>7065</v>
      </c>
      <c r="E8" s="65">
        <f>SUMIFS($X$60:$X$318,$D$60:$D$318,Table!$D$3,$S$60:$S$318,C8)-SUM(SUMIFS($X$60:$X$318,$D$60:$D$318,Table!$D$3,$S$60:$S$318,C8,$AA$60:$AA$318,{"Ongoing","N\A",""}))</f>
        <v>5842</v>
      </c>
      <c r="F8" s="65">
        <f>1/8*(SUMIFS($Z$60:$Z$318,$D$60:$D$318,Table!$D$3,$S$60:$S$318,C8)-SUM(SUMIFS($Z$60:$Z$318,$D$60:$D$318,Table!$D$3,$S$60:$S$318,C8,$AA$60:$AA$318,{"Ongoing","N/A",""})))</f>
        <v>5.78125</v>
      </c>
      <c r="G8" s="65">
        <f t="shared" si="2"/>
        <v>1010.5081081081081</v>
      </c>
      <c r="H8" s="66">
        <f t="shared" si="3"/>
        <v>0.82689313517338991</v>
      </c>
      <c r="L8" s="23" t="s">
        <v>43</v>
      </c>
    </row>
    <row r="9" spans="1:12" x14ac:dyDescent="0.25">
      <c r="B9" s="63">
        <v>6</v>
      </c>
      <c r="C9" s="73" t="s">
        <v>68</v>
      </c>
      <c r="D9" s="65">
        <f>SUMIFS($W$60:$W$318,$D$60:$D$318,Table!$D$3,$S$60:$S$318,C9)</f>
        <v>5586</v>
      </c>
      <c r="E9" s="65">
        <f>SUMIFS($X$60:$X$318,$D$60:$D$318,Table!$D$3,$S$60:$S$318,C9)-SUM(SUMIFS($X$60:$X$318,$D$60:$D$318,Table!$D$3,$S$60:$S$318,C9,$AA$60:$AA$318,{"Ongoing","N\A",""}))</f>
        <v>5043</v>
      </c>
      <c r="F9" s="65">
        <f>1/8*(SUMIFS($Z$60:$Z$318,$D$60:$D$318,Table!$D$3,$S$60:$S$318,C9)-SUM(SUMIFS($Z$60:$Z$318,$D$60:$D$318,Table!$D$3,$S$60:$S$318,C9,$AA$60:$AA$318,{"Ongoing","N/A",""})))</f>
        <v>11.192499999999997</v>
      </c>
      <c r="G9" s="65">
        <f t="shared" si="2"/>
        <v>450.56957784230525</v>
      </c>
      <c r="H9" s="66">
        <f t="shared" si="3"/>
        <v>0.90279269602577872</v>
      </c>
      <c r="L9" s="23" t="s">
        <v>44</v>
      </c>
    </row>
    <row r="10" spans="1:12" x14ac:dyDescent="0.25">
      <c r="B10" s="63">
        <v>7</v>
      </c>
      <c r="C10" s="73" t="s">
        <v>69</v>
      </c>
      <c r="D10" s="65">
        <f>SUMIFS($W$60:$W$318,$D$60:$D$318,Table!$D$3,$S$60:$S$318,C10)</f>
        <v>6534</v>
      </c>
      <c r="E10" s="65">
        <f>SUMIFS($X$60:$X$318,$D$60:$D$318,Table!$D$3,$S$60:$S$318,C10)-SUM(SUMIFS($X$60:$X$318,$D$60:$D$318,Table!$D$3,$S$60:$S$318,C10,$AA$60:$AA$318,{"Ongoing","N\A",""}))</f>
        <v>5839</v>
      </c>
      <c r="F10" s="65">
        <f>1/8*(SUMIFS($Z$60:$Z$318,$D$60:$D$318,Table!$D$3,$S$60:$S$318,C10)-SUM(SUMIFS($Z$60:$Z$318,$D$60:$D$318,Table!$D$3,$S$60:$S$318,C10,$AA$60:$AA$318,{"Ongoing","N/A",""})))</f>
        <v>9.3375000000000004</v>
      </c>
      <c r="G10" s="65">
        <f t="shared" si="2"/>
        <v>625.32797858099059</v>
      </c>
      <c r="H10" s="66">
        <f t="shared" si="3"/>
        <v>0.89363330272421182</v>
      </c>
    </row>
    <row r="11" spans="1:12" x14ac:dyDescent="0.25">
      <c r="B11" s="63">
        <v>8</v>
      </c>
      <c r="C11" s="73" t="s">
        <v>70</v>
      </c>
      <c r="D11" s="65">
        <f>SUMIFS($W$60:$W$318,$D$60:$D$318,Table!$D$3,$S$60:$S$318,C11)</f>
        <v>5148</v>
      </c>
      <c r="E11" s="65">
        <f>SUMIFS($X$60:$X$318,$D$60:$D$318,Table!$D$3,$S$60:$S$318,C11)-SUM(SUMIFS($X$60:$X$318,$D$60:$D$318,Table!$D$3,$S$60:$S$318,C11,$AA$60:$AA$318,{"Ongoing","N\A",""}))</f>
        <v>5148</v>
      </c>
      <c r="F11" s="65">
        <f>1/8*(SUMIFS($Z$60:$Z$318,$D$60:$D$318,Table!$D$3,$S$60:$S$318,C11)-SUM(SUMIFS($Z$60:$Z$318,$D$60:$D$318,Table!$D$3,$S$60:$S$318,C11,$AA$60:$AA$318,{"Ongoing","N/A",""})))</f>
        <v>3.84</v>
      </c>
      <c r="G11" s="65">
        <f t="shared" si="2"/>
        <v>1340.625</v>
      </c>
      <c r="H11" s="66">
        <f t="shared" si="3"/>
        <v>1</v>
      </c>
    </row>
    <row r="12" spans="1:12" x14ac:dyDescent="0.25">
      <c r="B12" s="63">
        <v>9</v>
      </c>
      <c r="C12" s="64" t="s">
        <v>142</v>
      </c>
      <c r="D12" s="65">
        <f>SUMIFS($W$60:$W$318,$D$60:$D$318,Table!$D$3,$S$60:$S$318,C12)</f>
        <v>0</v>
      </c>
      <c r="E12" s="65">
        <f>SUMIFS($X$60:$X$318,$D$60:$D$318,Table!$D$3,$S$60:$S$318,C12)-SUM(SUMIFS($X$60:$X$318,$D$60:$D$318,Table!$D$3,$S$60:$S$318,C12,$AA$60:$AA$318,{"Ongoing","N\A",""}))</f>
        <v>0</v>
      </c>
      <c r="F12" s="65">
        <f>1/8*(SUMIFS($Z$60:$Z$318,$D$60:$D$318,Table!$D$3,$S$60:$S$318,C12)-SUM(SUMIFS($Z$60:$Z$318,$D$60:$D$318,Table!$D$3,$S$60:$S$318,C12,$AA$60:$AA$318,{"Ongoing","N/A",""})))</f>
        <v>0</v>
      </c>
      <c r="G12" s="65" t="str">
        <f t="shared" si="2"/>
        <v>N/A</v>
      </c>
      <c r="H12" s="66" t="str">
        <f t="shared" si="3"/>
        <v>N/A</v>
      </c>
    </row>
    <row r="13" spans="1:12" x14ac:dyDescent="0.25">
      <c r="B13" s="63">
        <v>10</v>
      </c>
      <c r="C13" s="73" t="s">
        <v>143</v>
      </c>
      <c r="D13" s="65">
        <f>SUMIFS($W$60:$W$318,$D$60:$D$318,Table!$D$3,$S$60:$S$318,C13)</f>
        <v>4584</v>
      </c>
      <c r="E13" s="65">
        <f>SUMIFS($X$60:$X$318,$D$60:$D$318,Table!$D$3,$S$60:$S$318,C13)-SUM(SUMIFS($X$60:$X$318,$D$60:$D$318,Table!$D$3,$S$60:$S$318,C13,$AA$60:$AA$318,{"Ongoing","N\A",""}))</f>
        <v>4584</v>
      </c>
      <c r="F13" s="65">
        <f>1/8*(SUMIFS($Z$60:$Z$318,$D$60:$D$318,Table!$D$3,$S$60:$S$318,C13)-SUM(SUMIFS($Z$60:$Z$318,$D$60:$D$318,Table!$D$3,$S$60:$S$318,C13,$AA$60:$AA$318,{"Ongoing","N/A",""})))</f>
        <v>3.0450000000000004</v>
      </c>
      <c r="G13" s="65">
        <f t="shared" ref="G13:G16" si="4">IF(ISERROR(E13/(F13)),"N/A",E13/F13)</f>
        <v>1505.4187192118225</v>
      </c>
      <c r="H13" s="66">
        <f t="shared" ref="H13:H16" si="5">IF(ISERROR(E13/D13),"N/A",E13/D13)</f>
        <v>1</v>
      </c>
    </row>
    <row r="14" spans="1:12" x14ac:dyDescent="0.25">
      <c r="B14" s="63">
        <v>11</v>
      </c>
      <c r="C14" s="64" t="s">
        <v>760</v>
      </c>
      <c r="D14" s="65">
        <f>SUMIFS($W$60:$W$318,$D$60:$D$318,Table!$D$3,$S$60:$S$318,C14)</f>
        <v>0</v>
      </c>
      <c r="E14" s="65">
        <f>SUMIFS($X$60:$X$318,$D$60:$D$318,Table!$D$3,$S$60:$S$318,C14)-SUM(SUMIFS($X$60:$X$318,$D$60:$D$318,Table!$D$3,$S$60:$S$318,C14,$AA$60:$AA$318,{"Ongoing","N\A",""}))</f>
        <v>0</v>
      </c>
      <c r="F14" s="65">
        <f>1/8*(SUMIFS($Z$60:$Z$318,$D$60:$D$318,Table!$D$3,$S$60:$S$318,C14)-SUM(SUMIFS($Z$60:$Z$318,$D$60:$D$318,Table!$D$3,$S$60:$S$318,C14,$AA$60:$AA$318,{"Ongoing","N/A",""})))</f>
        <v>0</v>
      </c>
      <c r="G14" s="65" t="str">
        <f t="shared" si="4"/>
        <v>N/A</v>
      </c>
      <c r="H14" s="66" t="str">
        <f t="shared" si="5"/>
        <v>N/A</v>
      </c>
    </row>
    <row r="15" spans="1:12" x14ac:dyDescent="0.25">
      <c r="B15" s="63">
        <v>12</v>
      </c>
      <c r="C15" s="64" t="s">
        <v>761</v>
      </c>
      <c r="D15" s="65">
        <f>SUMIFS($W$60:$W$318,$D$60:$D$318,Table!$D$3,$S$60:$S$318,C15)</f>
        <v>0</v>
      </c>
      <c r="E15" s="65">
        <f>SUMIFS($X$60:$X$318,$D$60:$D$318,Table!$D$3,$S$60:$S$318,C15)-SUM(SUMIFS($X$60:$X$318,$D$60:$D$318,Table!$D$3,$S$60:$S$318,C15,$AA$60:$AA$318,{"Ongoing","N\A",""}))</f>
        <v>0</v>
      </c>
      <c r="F15" s="65">
        <f>1/8*(SUMIFS($Z$60:$Z$318,$D$60:$D$318,Table!$D$3,$S$60:$S$318,C15)-SUM(SUMIFS($Z$60:$Z$318,$D$60:$D$318,Table!$D$3,$S$60:$S$318,C15,$AA$60:$AA$318,{"Ongoing","N/A",""})))</f>
        <v>0</v>
      </c>
      <c r="G15" s="65" t="str">
        <f t="shared" si="4"/>
        <v>N/A</v>
      </c>
      <c r="H15" s="66" t="str">
        <f t="shared" si="5"/>
        <v>N/A</v>
      </c>
    </row>
    <row r="16" spans="1:12" x14ac:dyDescent="0.25">
      <c r="B16" s="63">
        <v>13</v>
      </c>
      <c r="C16" s="64" t="s">
        <v>762</v>
      </c>
      <c r="D16" s="65">
        <f>SUMIFS($W$60:$W$318,$D$60:$D$318,Table!$D$3,$S$60:$S$318,C16)</f>
        <v>0</v>
      </c>
      <c r="E16" s="65">
        <f>SUMIFS($X$60:$X$318,$D$60:$D$318,Table!$D$3,$S$60:$S$318,C16)-SUM(SUMIFS($X$60:$X$318,$D$60:$D$318,Table!$D$3,$S$60:$S$318,C16,$AA$60:$AA$318,{"Ongoing","N\A",""}))</f>
        <v>0</v>
      </c>
      <c r="F16" s="65">
        <f>1/8*(SUMIFS($Z$60:$Z$318,$D$60:$D$318,Table!$D$3,$S$60:$S$318,C16)-SUM(SUMIFS($Z$60:$Z$318,$D$60:$D$318,Table!$D$3,$S$60:$S$318,C16,$AA$60:$AA$318,{"Ongoing","N/A",""})))</f>
        <v>0</v>
      </c>
      <c r="G16" s="65" t="str">
        <f t="shared" si="4"/>
        <v>N/A</v>
      </c>
      <c r="H16" s="66" t="str">
        <f t="shared" si="5"/>
        <v>N/A</v>
      </c>
    </row>
    <row r="17" spans="2:13" x14ac:dyDescent="0.25">
      <c r="B17" s="63">
        <v>14</v>
      </c>
      <c r="C17" s="77" t="s">
        <v>763</v>
      </c>
      <c r="D17" s="65">
        <f>SUMIFS($W$60:$W$318,$D$60:$D$318,Table!$D$3,$S$60:$S$318,C17)</f>
        <v>0</v>
      </c>
      <c r="E17" s="65">
        <f>SUMIFS($X$60:$X$318,$D$60:$D$318,Table!$D$3,$S$60:$S$318,C17)-SUM(SUMIFS($X$60:$X$318,$D$60:$D$318,Table!$D$3,$S$60:$S$318,C17,$AA$60:$AA$318,{"Ongoing","N\A",""}))</f>
        <v>0</v>
      </c>
      <c r="F17" s="65">
        <f>1/8*(SUMIFS($Z$60:$Z$318,$D$60:$D$318,Table!$D$3,$S$60:$S$318,C17)-SUM(SUMIFS($Z$60:$Z$318,$D$60:$D$318,Table!$D$3,$S$60:$S$318,C17,$AA$60:$AA$318,{"Ongoing","N/A",""})))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SUMIFS($W$60:$W$318,$D$60:$D$318,Table!$D$3)</f>
        <v>40085</v>
      </c>
      <c r="E18" s="69">
        <f>SUMIFS($W$60:$W$318,$D$60:$D$318,Table!$D$3)-SUM(SUMIFS($W$60:$W$318,$D$60:$D$318,Table!$D$3,$AA$60:$AA$318,{"Ongoing","N/A",""}))</f>
        <v>33901</v>
      </c>
      <c r="F18" s="69">
        <f>1/8*(SUMIFS($Z$60:$Z$318,$D$60:$D$318,Table!$D$3)-SUM(SUMIFS($Z$60:$Z$318,$D$60:$D$318,Table!$D$3,$AA$60:$AA$318,{"Ongoing","N/A",""})))</f>
        <v>37.871250000000003</v>
      </c>
      <c r="G18" s="65">
        <f>IF(ISERROR(E18/(F18)),"N/A",E18/F18)</f>
        <v>895.16453774301078</v>
      </c>
      <c r="H18" s="66">
        <f t="shared" si="1"/>
        <v>0.84572782836472493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3" t="s">
        <v>6</v>
      </c>
      <c r="D23" s="65">
        <f>SUMIFS($W$60:$W$318,$D$60:$D$318,Table!$C$3,$S$60:$S$318,C23)</f>
        <v>0</v>
      </c>
      <c r="E23" s="65">
        <f>SUMIFS($X$60:$X$318,$D$60:$D$318,Table!$C$3,$S$60:$S$318,C23)-SUM(SUMIFS($X$60:$X$318,$D$60:$D$318,Table!$C$3,$S$60:$S$318,C23,$AA$60:$AA$318,{"Ongoing","N/A",""}))</f>
        <v>0</v>
      </c>
      <c r="F23" s="65">
        <f>1/8*(SUMIFS($Z$60:$Z$318,$D$60:$D$318,Table!$C$3,$S$60:$S$318,C23)-SUM(SUMIFS($Z$60:$Z$318,$D$60:$D$318,Table!$C$3,$S$60:$S$318,C23,$AA$60:$AA$318,{"Ongoing","N/A",""})))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  <c r="J23" s="79"/>
      <c r="K23" s="70"/>
      <c r="M23" s="70"/>
    </row>
    <row r="24" spans="2:13" x14ac:dyDescent="0.25">
      <c r="B24" s="63">
        <v>2</v>
      </c>
      <c r="C24" s="73" t="s">
        <v>64</v>
      </c>
      <c r="D24" s="65">
        <f>SUMIFS($W$60:$W$318,$D$60:$D$318,Table!$C$3,$S$60:$S$318,C24)</f>
        <v>145</v>
      </c>
      <c r="E24" s="65">
        <f>SUMIFS($X$60:$X$318,$D$60:$D$318,Table!$C$3,$S$60:$S$318,C24)-SUM(SUMIFS($X$60:$X$318,$D$60:$D$318,Table!$C$3,$S$60:$S$318,C24,$AA$60:$AA$318,{"Ongoing","N/A",""}))</f>
        <v>129</v>
      </c>
      <c r="F24" s="65">
        <f>1/8*(SUMIFS($Z$60:$Z$318,$D$60:$D$318,Table!$C$3,$S$60:$S$318,C24)-SUM(SUMIFS($Z$60:$Z$318,$D$60:$D$318,Table!$C$3,$S$60:$S$318,C24,$AA$60:$AA$318,{"Ongoing","N/A",""})))</f>
        <v>0.875</v>
      </c>
      <c r="G24" s="65">
        <f t="shared" ref="G24:G37" si="6">IF(ISERROR(E24/(F24)),"N/A",E24/F24)</f>
        <v>147.42857142857142</v>
      </c>
      <c r="H24" s="66">
        <f t="shared" ref="H24:H37" si="7">IF(ISERROR(E24/D24),"N/A",E24/D24)</f>
        <v>0.8896551724137931</v>
      </c>
      <c r="J24" s="79"/>
      <c r="K24" s="23"/>
    </row>
    <row r="25" spans="2:13" x14ac:dyDescent="0.25">
      <c r="B25" s="63">
        <v>3</v>
      </c>
      <c r="C25" s="73" t="s">
        <v>65</v>
      </c>
      <c r="D25" s="65">
        <f>SUMIFS($W$60:$W$318,$D$60:$D$318,Table!$C$3,$S$60:$S$318,C25)</f>
        <v>0</v>
      </c>
      <c r="E25" s="65">
        <f>SUMIFS($X$60:$X$318,$D$60:$D$318,Table!$C$3,$S$60:$S$318,C25)-SUM(SUMIFS($X$60:$X$318,$D$60:$D$318,Table!$C$3,$S$60:$S$318,C25,$AA$60:$AA$318,{"Ongoing","N/A",""}))</f>
        <v>0</v>
      </c>
      <c r="F25" s="65">
        <f>1/8*(SUMIFS($Z$60:$Z$318,$D$60:$D$318,Table!$C$3,$S$60:$S$318,C25)-SUM(SUMIFS($Z$60:$Z$318,$D$60:$D$318,Table!$C$3,$S$60:$S$318,C25,$AA$60:$AA$318,{"Ongoing","N/A",""})))</f>
        <v>0</v>
      </c>
      <c r="G25" s="65" t="str">
        <f t="shared" ref="G25:G31" si="8">IF(ISERROR(E25/(F25)),"N/A",E25/F25)</f>
        <v>N/A</v>
      </c>
      <c r="H25" s="66" t="str">
        <f t="shared" ref="H25:H31" si="9">IF(ISERROR(E25/D25),"N/A",E25/D25)</f>
        <v>N/A</v>
      </c>
      <c r="J25" s="79"/>
      <c r="K25" s="23"/>
      <c r="L25" s="72"/>
    </row>
    <row r="26" spans="2:13" x14ac:dyDescent="0.25">
      <c r="B26" s="63">
        <v>4</v>
      </c>
      <c r="C26" s="77" t="s">
        <v>66</v>
      </c>
      <c r="D26" s="65">
        <f>SUMIFS($W$60:$W$318,$D$60:$D$318,Table!$C$3,$S$60:$S$318,C26)</f>
        <v>0</v>
      </c>
      <c r="E26" s="65">
        <f>SUMIFS($X$60:$X$318,$D$60:$D$318,Table!$C$3,$S$60:$S$318,C26)-SUM(SUMIFS($X$60:$X$318,$D$60:$D$318,Table!$C$3,$S$60:$S$318,C26,$AA$60:$AA$318,{"Ongoing","N/A",""}))</f>
        <v>0</v>
      </c>
      <c r="F26" s="65">
        <f>1/8*(SUMIFS($Z$60:$Z$318,$D$60:$D$318,Table!$C$3,$S$60:$S$318,C26)-SUM(SUMIFS($Z$60:$Z$318,$D$60:$D$318,Table!$C$3,$S$60:$S$318,C26,$AA$60:$AA$318,{"Ongoing","N/A",""})))</f>
        <v>0</v>
      </c>
      <c r="G26" s="65" t="str">
        <f t="shared" si="8"/>
        <v>N/A</v>
      </c>
      <c r="H26" s="66" t="str">
        <f t="shared" si="9"/>
        <v>N/A</v>
      </c>
      <c r="J26" s="79"/>
      <c r="K26" s="23"/>
    </row>
    <row r="27" spans="2:13" x14ac:dyDescent="0.25">
      <c r="B27" s="63">
        <v>5</v>
      </c>
      <c r="C27" s="73" t="s">
        <v>67</v>
      </c>
      <c r="D27" s="65">
        <f>SUMIFS($W$60:$W$318,$D$60:$D$318,Table!$C$3,$S$60:$S$318,C27)</f>
        <v>186</v>
      </c>
      <c r="E27" s="65">
        <f>SUMIFS($X$60:$X$318,$D$60:$D$318,Table!$C$3,$S$60:$S$318,C27)-SUM(SUMIFS($X$60:$X$318,$D$60:$D$318,Table!$C$3,$S$60:$S$318,C27,$AA$60:$AA$318,{"Ongoing","N/A",""}))</f>
        <v>36</v>
      </c>
      <c r="F27" s="65">
        <f>1/8*(SUMIFS($Z$60:$Z$318,$D$60:$D$318,Table!$C$3,$S$60:$S$318,C27)-SUM(SUMIFS($Z$60:$Z$318,$D$60:$D$318,Table!$C$3,$S$60:$S$318,C27,$AA$60:$AA$318,{"Ongoing","N/A",""})))</f>
        <v>0.25</v>
      </c>
      <c r="G27" s="65">
        <f t="shared" si="8"/>
        <v>144</v>
      </c>
      <c r="H27" s="66">
        <f t="shared" si="9"/>
        <v>0.19354838709677419</v>
      </c>
    </row>
    <row r="28" spans="2:13" x14ac:dyDescent="0.25">
      <c r="B28" s="63">
        <v>6</v>
      </c>
      <c r="C28" s="73" t="s">
        <v>68</v>
      </c>
      <c r="D28" s="65">
        <f>SUMIFS($W$60:$W$318,$D$60:$D$318,Table!$C$3,$S$60:$S$318,C28)</f>
        <v>0</v>
      </c>
      <c r="E28" s="65">
        <f>SUMIFS($X$60:$X$318,$D$60:$D$318,Table!$C$3,$S$60:$S$318,C28)-SUM(SUMIFS($X$60:$X$318,$D$60:$D$318,Table!$C$3,$S$60:$S$318,C28,$AA$60:$AA$318,{"Ongoing","N/A",""}))</f>
        <v>0</v>
      </c>
      <c r="F28" s="65">
        <f>1/8*(SUMIFS($Z$60:$Z$318,$D$60:$D$318,Table!$C$3,$S$60:$S$318,C28)-SUM(SUMIFS($Z$60:$Z$318,$D$60:$D$318,Table!$C$3,$S$60:$S$318,C28,$AA$60:$AA$318,{"Ongoing","N/A",""})))</f>
        <v>0</v>
      </c>
      <c r="G28" s="65" t="str">
        <f t="shared" si="8"/>
        <v>N/A</v>
      </c>
      <c r="H28" s="66" t="str">
        <f t="shared" si="9"/>
        <v>N/A</v>
      </c>
    </row>
    <row r="29" spans="2:13" x14ac:dyDescent="0.25">
      <c r="B29" s="63">
        <v>7</v>
      </c>
      <c r="C29" s="73" t="s">
        <v>69</v>
      </c>
      <c r="D29" s="65">
        <f>SUMIFS($W$60:$W$318,$D$60:$D$318,Table!$C$3,$S$60:$S$318,C29)</f>
        <v>15</v>
      </c>
      <c r="E29" s="65">
        <f>SUMIFS($X$60:$X$318,$D$60:$D$318,Table!$C$3,$S$60:$S$318,C29)-SUM(SUMIFS($X$60:$X$318,$D$60:$D$318,Table!$C$3,$S$60:$S$318,C29,$AA$60:$AA$318,{"Ongoing","N/A",""}))</f>
        <v>10</v>
      </c>
      <c r="F29" s="65">
        <f>1/8*(SUMIFS($Z$60:$Z$318,$D$60:$D$318,Table!$C$3,$S$60:$S$318,C29)-SUM(SUMIFS($Z$60:$Z$318,$D$60:$D$318,Table!$C$3,$S$60:$S$318,C29,$AA$60:$AA$318,{"Ongoing","N/A",""})))</f>
        <v>6.25E-2</v>
      </c>
      <c r="G29" s="65">
        <f t="shared" si="8"/>
        <v>160</v>
      </c>
      <c r="H29" s="66">
        <f t="shared" si="9"/>
        <v>0.66666666666666663</v>
      </c>
    </row>
    <row r="30" spans="2:13" x14ac:dyDescent="0.25">
      <c r="B30" s="63">
        <v>8</v>
      </c>
      <c r="C30" s="73" t="s">
        <v>70</v>
      </c>
      <c r="D30" s="65">
        <f>SUMIFS($W$60:$W$318,$D$60:$D$318,Table!$C$3,$S$60:$S$318,C30)</f>
        <v>39</v>
      </c>
      <c r="E30" s="65">
        <f>SUMIFS($X$60:$X$318,$D$60:$D$318,Table!$C$3,$S$60:$S$318,C30)-SUM(SUMIFS($X$60:$X$318,$D$60:$D$318,Table!$C$3,$S$60:$S$318,C30,$AA$60:$AA$318,{"Ongoing","N/A",""}))</f>
        <v>39</v>
      </c>
      <c r="F30" s="65">
        <f>1/8*(SUMIFS($Z$60:$Z$318,$D$60:$D$318,Table!$C$3,$S$60:$S$318,C30)-SUM(SUMIFS($Z$60:$Z$318,$D$60:$D$318,Table!$C$3,$S$60:$S$318,C30,$AA$60:$AA$318,{"Ongoing","N/A",""})))</f>
        <v>0.1875</v>
      </c>
      <c r="G30" s="65">
        <f t="shared" si="8"/>
        <v>208</v>
      </c>
      <c r="H30" s="66">
        <f t="shared" si="9"/>
        <v>1</v>
      </c>
    </row>
    <row r="31" spans="2:13" x14ac:dyDescent="0.25">
      <c r="B31" s="63">
        <v>9</v>
      </c>
      <c r="C31" s="64" t="s">
        <v>142</v>
      </c>
      <c r="D31" s="65">
        <f>SUMIFS($W$60:$W$318,$D$60:$D$318,Table!$C$3,$S$60:$S$318,C31)</f>
        <v>0</v>
      </c>
      <c r="E31" s="65">
        <f>SUMIFS($X$60:$X$318,$D$60:$D$318,Table!$C$3,$S$60:$S$318,C31)-SUM(SUMIFS($X$60:$X$318,$D$60:$D$318,Table!$C$3,$S$60:$S$318,C31,$AA$60:$AA$318,{"Ongoing","N/A",""}))</f>
        <v>0</v>
      </c>
      <c r="F31" s="65">
        <f>1/8*(SUMIFS($Z$60:$Z$318,$D$60:$D$318,Table!$C$3,$S$60:$S$318,C31)-SUM(SUMIFS($Z$60:$Z$318,$D$60:$D$318,Table!$C$3,$S$60:$S$318,C31,$AA$60:$AA$318,{"Ongoing","N/A",""})))</f>
        <v>0</v>
      </c>
      <c r="G31" s="65" t="str">
        <f t="shared" si="8"/>
        <v>N/A</v>
      </c>
      <c r="H31" s="66" t="str">
        <f t="shared" si="9"/>
        <v>N/A</v>
      </c>
    </row>
    <row r="32" spans="2:13" x14ac:dyDescent="0.25">
      <c r="B32" s="63">
        <v>10</v>
      </c>
      <c r="C32" s="73" t="s">
        <v>143</v>
      </c>
      <c r="D32" s="65">
        <f>SUMIFS($W$60:$W$318,$D$60:$D$318,Table!$C$3,$S$60:$S$318,C32)</f>
        <v>0</v>
      </c>
      <c r="E32" s="65">
        <f>SUMIFS($X$60:$X$318,$D$60:$D$318,Table!$C$3,$S$60:$S$318,C32)-SUM(SUMIFS($X$60:$X$318,$D$60:$D$318,Table!$C$3,$S$60:$S$318,C32,$AA$60:$AA$318,{"Ongoing","N/A",""}))</f>
        <v>0</v>
      </c>
      <c r="F32" s="65">
        <f>1/8*(SUMIFS($Z$60:$Z$318,$D$60:$D$318,Table!$C$3,$S$60:$S$318,C32)-SUM(SUMIFS($Z$60:$Z$318,$D$60:$D$318,Table!$C$3,$S$60:$S$318,C32,$AA$60:$AA$318,{"Ongoing","N/A",""})))</f>
        <v>0</v>
      </c>
      <c r="G32" s="65" t="str">
        <f t="shared" ref="G32:G36" si="10">IF(ISERROR(E32/(F32)),"N/A",E32/F32)</f>
        <v>N/A</v>
      </c>
      <c r="H32" s="66" t="str">
        <f t="shared" ref="H32:H36" si="11">IF(ISERROR(E32/D32),"N/A",E32/D32)</f>
        <v>N/A</v>
      </c>
    </row>
    <row r="33" spans="1:17" x14ac:dyDescent="0.25">
      <c r="B33" s="63">
        <v>11</v>
      </c>
      <c r="C33" s="64" t="s">
        <v>760</v>
      </c>
      <c r="D33" s="65">
        <f>SUMIFS($W$60:$W$318,$D$60:$D$318,Table!$C$3,$S$60:$S$318,C33)</f>
        <v>0</v>
      </c>
      <c r="E33" s="65">
        <f>SUMIFS($X$60:$X$318,$D$60:$D$318,Table!$C$3,$S$60:$S$318,C33)-SUM(SUMIFS($X$60:$X$318,$D$60:$D$318,Table!$C$3,$S$60:$S$318,C33,$AA$60:$AA$318,{"Ongoing","N/A",""}))</f>
        <v>0</v>
      </c>
      <c r="F33" s="65">
        <f>1/8*(SUMIFS($Z$60:$Z$318,$D$60:$D$318,Table!$C$3,$S$60:$S$318,C33)-SUM(SUMIFS($Z$60:$Z$318,$D$60:$D$318,Table!$C$3,$S$60:$S$318,C33,$AA$60:$AA$318,{"Ongoing","N/A",""})))</f>
        <v>0</v>
      </c>
      <c r="G33" s="65" t="str">
        <f t="shared" si="10"/>
        <v>N/A</v>
      </c>
      <c r="H33" s="66" t="str">
        <f t="shared" si="11"/>
        <v>N/A</v>
      </c>
    </row>
    <row r="34" spans="1:17" x14ac:dyDescent="0.25">
      <c r="B34" s="63">
        <v>12</v>
      </c>
      <c r="C34" s="64" t="s">
        <v>761</v>
      </c>
      <c r="D34" s="65">
        <f>SUMIFS($W$60:$W$318,$D$60:$D$318,Table!$C$3,$S$60:$S$318,C34)</f>
        <v>0</v>
      </c>
      <c r="E34" s="65">
        <f>SUMIFS($X$60:$X$318,$D$60:$D$318,Table!$C$3,$S$60:$S$318,C34)-SUM(SUMIFS($X$60:$X$318,$D$60:$D$318,Table!$C$3,$S$60:$S$318,C34,$AA$60:$AA$318,{"Ongoing","N/A",""}))</f>
        <v>0</v>
      </c>
      <c r="F34" s="65">
        <f>1/8*(SUMIFS($Z$60:$Z$318,$D$60:$D$318,Table!$C$3,$S$60:$S$318,C34)-SUM(SUMIFS($Z$60:$Z$318,$D$60:$D$318,Table!$C$3,$S$60:$S$318,C34,$AA$60:$AA$318,{"Ongoing","N/A",""})))</f>
        <v>0</v>
      </c>
      <c r="G34" s="65" t="str">
        <f t="shared" si="10"/>
        <v>N/A</v>
      </c>
      <c r="H34" s="66" t="str">
        <f t="shared" si="11"/>
        <v>N/A</v>
      </c>
    </row>
    <row r="35" spans="1:17" x14ac:dyDescent="0.25">
      <c r="B35" s="63">
        <v>13</v>
      </c>
      <c r="C35" s="64" t="s">
        <v>762</v>
      </c>
      <c r="D35" s="65">
        <f>SUMIFS($W$60:$W$318,$D$60:$D$318,Table!$C$3,$S$60:$S$318,C35)</f>
        <v>0</v>
      </c>
      <c r="E35" s="65">
        <f>SUMIFS($X$60:$X$318,$D$60:$D$318,Table!$C$3,$S$60:$S$318,C35)-SUM(SUMIFS($X$60:$X$318,$D$60:$D$318,Table!$C$3,$S$60:$S$318,C35,$AA$60:$AA$318,{"Ongoing","N/A",""}))</f>
        <v>0</v>
      </c>
      <c r="F35" s="65">
        <f>1/8*(SUMIFS($Z$60:$Z$318,$D$60:$D$318,Table!$C$3,$S$60:$S$318,C35)-SUM(SUMIFS($Z$60:$Z$318,$D$60:$D$318,Table!$C$3,$S$60:$S$318,C35,$AA$60:$AA$318,{"Ongoing","N/A",""})))</f>
        <v>0</v>
      </c>
      <c r="G35" s="65" t="str">
        <f t="shared" si="10"/>
        <v>N/A</v>
      </c>
      <c r="H35" s="66" t="str">
        <f t="shared" si="11"/>
        <v>N/A</v>
      </c>
    </row>
    <row r="36" spans="1:17" x14ac:dyDescent="0.25">
      <c r="B36" s="63">
        <v>14</v>
      </c>
      <c r="C36" s="64" t="s">
        <v>763</v>
      </c>
      <c r="D36" s="65">
        <f>SUMIFS($W$60:$W$318,$D$60:$D$318,Table!$C$3,$S$60:$S$318,C36)</f>
        <v>0</v>
      </c>
      <c r="E36" s="65">
        <f>SUMIFS($X$60:$X$318,$D$60:$D$318,Table!$C$3,$S$60:$S$318,C36)-SUM(SUMIFS($X$60:$X$318,$D$60:$D$318,Table!$C$3,$S$60:$S$318,C36,$AA$60:$AA$318,{"Ongoing","N/A",""}))</f>
        <v>0</v>
      </c>
      <c r="F36" s="65">
        <f>1/8*(SUMIFS($Z$60:$Z$318,$D$60:$D$318,Table!$C$3,$S$60:$S$318,C36)-SUM(SUMIFS($Z$60:$Z$318,$D$60:$D$318,Table!$C$3,$S$60:$S$318,C36,$AA$60:$AA$318,{"Ongoing","N/A",""})))</f>
        <v>0</v>
      </c>
      <c r="G36" s="65" t="str">
        <f t="shared" si="10"/>
        <v>N/A</v>
      </c>
      <c r="H36" s="66" t="str">
        <f t="shared" si="11"/>
        <v>N/A</v>
      </c>
    </row>
    <row r="37" spans="1:17" x14ac:dyDescent="0.25">
      <c r="B37" s="61" t="s">
        <v>106</v>
      </c>
      <c r="C37" s="67"/>
      <c r="D37" s="69">
        <f>ROUND(SUMIFS($W$60:$W$318,$D$60:$D$318,Table!$C$3),3)</f>
        <v>385</v>
      </c>
      <c r="E37" s="69">
        <f>ROUND(SUMIFS($W$60:$W$318,$D$60:$D$318,Table!$C$3)-SUM(SUMIFS($W$60:$W$318,$D$60:$D$318,Table!$C$3,$AA$60:$AA$318,{"Ongoing","N/A",""})),3)</f>
        <v>214</v>
      </c>
      <c r="F37" s="69">
        <f>1/8*(SUMIFS($Z$60:$Z$318,$D$60:$D$318,Table!$C$3)-SUM(SUMIFS($Z$60:$Z$318,$D$60:$D$318,Table!$C$3,$AA$60:$AA$318,{"Ongoing","N/A",""})))</f>
        <v>1.375</v>
      </c>
      <c r="G37" s="65">
        <f t="shared" si="6"/>
        <v>155.63636363636363</v>
      </c>
      <c r="H37" s="66">
        <f t="shared" si="7"/>
        <v>0.55584415584415581</v>
      </c>
      <c r="L37" s="6"/>
    </row>
    <row r="39" spans="1:17" ht="19.5" customHeight="1" x14ac:dyDescent="0.25"/>
    <row r="40" spans="1:17" x14ac:dyDescent="0.25">
      <c r="A40" s="1" t="s">
        <v>194</v>
      </c>
      <c r="B40" s="68" t="s">
        <v>107</v>
      </c>
    </row>
    <row r="41" spans="1:17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82" t="s">
        <v>140</v>
      </c>
      <c r="J41" s="83" t="s">
        <v>150</v>
      </c>
    </row>
    <row r="42" spans="1:17" ht="15.75" x14ac:dyDescent="0.25">
      <c r="B42" s="63">
        <v>1</v>
      </c>
      <c r="C42" s="73" t="s">
        <v>6</v>
      </c>
      <c r="D42" s="65">
        <f>SUM(D23*Table!$D$4/Table!$C$4,D4)</f>
        <v>4265</v>
      </c>
      <c r="E42" s="65">
        <f>SUM(E23*Table!$D$4/Table!$C$4,E4)</f>
        <v>1552</v>
      </c>
      <c r="F42" s="65">
        <f ca="1">$K$20</f>
        <v>6</v>
      </c>
      <c r="G42" s="65">
        <f t="shared" ref="G42" ca="1" si="12">IF(ISERROR(E42/(F42)),"N/A",E42/F42)</f>
        <v>258.66666666666669</v>
      </c>
      <c r="H42" s="66">
        <f t="shared" ref="H42:H56" si="13">IF(ISERROR(E42/D42),"N/A",E42/D42)</f>
        <v>0.36389214536928488</v>
      </c>
      <c r="I42" s="84">
        <f>COUNTIFS($S$60:$S$318,C42,$AK$60:$AK$318,Table!$C$41)</f>
        <v>1</v>
      </c>
      <c r="J42" s="84">
        <f>COUNTIFS($S$60:$S$318,C42,$AK$60:$AK$318,Table!$C$42)</f>
        <v>0</v>
      </c>
    </row>
    <row r="43" spans="1:17" ht="15.75" x14ac:dyDescent="0.25">
      <c r="B43" s="63">
        <v>2</v>
      </c>
      <c r="C43" s="73" t="s">
        <v>64</v>
      </c>
      <c r="D43" s="65">
        <f>SUM(D24*Table!$D$4/Table!$C$4,D5)</f>
        <v>2653.9230769230771</v>
      </c>
      <c r="E43" s="65">
        <f>SUM(E24*Table!$D$4/Table!$C$4,E5)</f>
        <v>2337.5384615384614</v>
      </c>
      <c r="F43" s="65">
        <f t="shared" ref="F43:F55" ca="1" si="14">$K$20</f>
        <v>6</v>
      </c>
      <c r="G43" s="65">
        <f ca="1">IF(ISERROR(E43/(F43)),"N/A",E43/F43)</f>
        <v>389.58974358974359</v>
      </c>
      <c r="H43" s="66">
        <f t="shared" si="13"/>
        <v>0.88078606417205285</v>
      </c>
      <c r="I43" s="84">
        <f>COUNTIFS($S$60:$S$318,C43,$AK$60:$AK$318,Table!$C$41)</f>
        <v>1</v>
      </c>
      <c r="J43" s="84">
        <f>COUNTIFS($S$60:$S$318,C43,$AK$60:$AK$318,Table!$C$42)</f>
        <v>0</v>
      </c>
    </row>
    <row r="44" spans="1:17" ht="15.75" x14ac:dyDescent="0.25">
      <c r="B44" s="63">
        <v>3</v>
      </c>
      <c r="C44" s="73" t="s">
        <v>65</v>
      </c>
      <c r="D44" s="65">
        <f>SUM(D25*Table!$D$4/Table!$C$4,D6)</f>
        <v>4751</v>
      </c>
      <c r="E44" s="65">
        <f>SUM(E25*Table!$D$4/Table!$C$4,E6)</f>
        <v>4002</v>
      </c>
      <c r="F44" s="65">
        <f t="shared" ca="1" si="14"/>
        <v>6</v>
      </c>
      <c r="G44" s="65">
        <f t="shared" ref="G44:G50" ca="1" si="15">IF(ISERROR(E44/(F44)),"N/A",E44/F44)</f>
        <v>667</v>
      </c>
      <c r="H44" s="66">
        <f t="shared" ref="H44:H50" si="16">IF(ISERROR(E44/D44),"N/A",E44/D44)</f>
        <v>0.84234897916228157</v>
      </c>
      <c r="I44" s="84">
        <f>COUNTIFS($S$60:$S$318,C44,$AK$60:$AK$318,Table!$C$41)</f>
        <v>2</v>
      </c>
      <c r="J44" s="84">
        <f>COUNTIFS($S$60:$S$318,C44,$AK$60:$AK$318,Table!$C$42)</f>
        <v>0</v>
      </c>
    </row>
    <row r="45" spans="1:17" ht="15.75" x14ac:dyDescent="0.25">
      <c r="B45" s="63">
        <v>4</v>
      </c>
      <c r="C45" s="77" t="s">
        <v>66</v>
      </c>
      <c r="D45" s="65">
        <f>SUM(D26*Table!$D$4/Table!$C$4,D7)</f>
        <v>0</v>
      </c>
      <c r="E45" s="65">
        <f>SUM(E26*Table!$D$4/Table!$C$4,E7)</f>
        <v>0</v>
      </c>
      <c r="F45" s="65">
        <f t="shared" ca="1" si="14"/>
        <v>6</v>
      </c>
      <c r="G45" s="65">
        <f t="shared" ca="1" si="15"/>
        <v>0</v>
      </c>
      <c r="H45" s="66" t="str">
        <f t="shared" si="16"/>
        <v>N/A</v>
      </c>
      <c r="I45" s="84">
        <f>COUNTIFS($S$60:$S$318,C45,$AK$60:$AK$318,Table!$C$41)</f>
        <v>0</v>
      </c>
      <c r="J45" s="84">
        <f>COUNTIFS($S$60:$S$318,C45,$AK$60:$AK$318,Table!$C$42)</f>
        <v>0</v>
      </c>
    </row>
    <row r="46" spans="1:17" ht="16.5" customHeight="1" x14ac:dyDescent="0.25">
      <c r="B46" s="63">
        <v>5</v>
      </c>
      <c r="C46" s="73" t="s">
        <v>67</v>
      </c>
      <c r="D46" s="65">
        <f>SUM(D27*Table!$D$4/Table!$C$4,D8)</f>
        <v>7708.8461538461543</v>
      </c>
      <c r="E46" s="65">
        <f>SUM(E27*Table!$D$4/Table!$C$4,E8)</f>
        <v>5966.6153846153848</v>
      </c>
      <c r="F46" s="65">
        <f t="shared" ca="1" si="14"/>
        <v>6</v>
      </c>
      <c r="G46" s="65">
        <f t="shared" ca="1" si="15"/>
        <v>994.43589743589746</v>
      </c>
      <c r="H46" s="66">
        <f t="shared" si="16"/>
        <v>0.77399590879608837</v>
      </c>
      <c r="I46" s="84">
        <f>COUNTIFS($S$60:$S$318,C46,$AK$60:$AK$318,Table!$C$41)</f>
        <v>3</v>
      </c>
      <c r="J46" s="84">
        <f>COUNTIFS($S$60:$S$318,C46,$AK$60:$AK$318,Table!$C$42)</f>
        <v>0</v>
      </c>
      <c r="M46" s="5"/>
      <c r="N46" s="5"/>
      <c r="O46" s="5"/>
      <c r="P46" s="5"/>
      <c r="Q46" s="5"/>
    </row>
    <row r="47" spans="1:17" ht="15.75" x14ac:dyDescent="0.25">
      <c r="B47" s="63">
        <v>6</v>
      </c>
      <c r="C47" s="73" t="s">
        <v>68</v>
      </c>
      <c r="D47" s="65">
        <f>SUM(D28*Table!$D$4/Table!$C$4,D9)</f>
        <v>5586</v>
      </c>
      <c r="E47" s="65">
        <f>SUM(E28*Table!$D$4/Table!$C$4,E9)</f>
        <v>5043</v>
      </c>
      <c r="F47" s="65">
        <f t="shared" ca="1" si="14"/>
        <v>6</v>
      </c>
      <c r="G47" s="65">
        <f t="shared" ca="1" si="15"/>
        <v>840.5</v>
      </c>
      <c r="H47" s="66">
        <f t="shared" si="16"/>
        <v>0.90279269602577872</v>
      </c>
      <c r="I47" s="84">
        <f>COUNTIFS($S$60:$S$318,C47,$AK$60:$AK$318,Table!$C$41)</f>
        <v>2</v>
      </c>
      <c r="J47" s="84">
        <f>COUNTIFS($S$60:$S$318,C47,$AK$60:$AK$318,Table!$C$42)</f>
        <v>0</v>
      </c>
      <c r="M47" s="5"/>
      <c r="N47" s="91"/>
      <c r="O47" s="92"/>
      <c r="P47" s="91"/>
      <c r="Q47" s="5"/>
    </row>
    <row r="48" spans="1:17" ht="15.75" x14ac:dyDescent="0.25">
      <c r="B48" s="63">
        <v>7</v>
      </c>
      <c r="C48" s="73" t="s">
        <v>69</v>
      </c>
      <c r="D48" s="65">
        <f>SUM(D29*Table!$D$4/Table!$C$4,D10)</f>
        <v>6585.9230769230771</v>
      </c>
      <c r="E48" s="65">
        <f>SUM(E29*Table!$D$4/Table!$C$4,E10)</f>
        <v>5873.6153846153848</v>
      </c>
      <c r="F48" s="65">
        <f t="shared" ca="1" si="14"/>
        <v>6</v>
      </c>
      <c r="G48" s="65">
        <f t="shared" ca="1" si="15"/>
        <v>978.93589743589746</v>
      </c>
      <c r="H48" s="66">
        <f t="shared" si="16"/>
        <v>0.89184390950395365</v>
      </c>
      <c r="I48" s="84">
        <f>COUNTIFS($S$60:$S$318,C48,$AK$60:$AK$318,Table!$C$41)</f>
        <v>4</v>
      </c>
      <c r="J48" s="84">
        <f>COUNTIFS($S$60:$S$318,C48,$AK$60:$AK$318,Table!$C$42)</f>
        <v>0</v>
      </c>
      <c r="M48" s="5"/>
      <c r="N48" s="5"/>
      <c r="O48" s="5"/>
      <c r="P48" s="5"/>
      <c r="Q48" s="5"/>
    </row>
    <row r="49" spans="2:40" ht="15.75" x14ac:dyDescent="0.25">
      <c r="B49" s="63">
        <v>8</v>
      </c>
      <c r="C49" s="73" t="s">
        <v>70</v>
      </c>
      <c r="D49" s="65">
        <f>SUM(D30*Table!$D$4/Table!$C$4,D11)</f>
        <v>5283</v>
      </c>
      <c r="E49" s="65">
        <f>SUM(E30*Table!$D$4/Table!$C$4,E11)</f>
        <v>5283</v>
      </c>
      <c r="F49" s="65">
        <f t="shared" ca="1" si="14"/>
        <v>6</v>
      </c>
      <c r="G49" s="65">
        <f t="shared" ca="1" si="15"/>
        <v>880.5</v>
      </c>
      <c r="H49" s="66">
        <f t="shared" si="16"/>
        <v>1</v>
      </c>
      <c r="I49" s="84">
        <f>COUNTIFS($S$60:$S$318,C49,$AK$60:$AK$318,Table!$C$41)</f>
        <v>4</v>
      </c>
      <c r="J49" s="84">
        <f>COUNTIFS($S$60:$S$318,C49,$AK$60:$AK$318,Table!$C$42)</f>
        <v>0</v>
      </c>
    </row>
    <row r="50" spans="2:40" ht="15.75" x14ac:dyDescent="0.25">
      <c r="B50" s="63">
        <v>9</v>
      </c>
      <c r="C50" s="64" t="s">
        <v>142</v>
      </c>
      <c r="D50" s="65">
        <f>SUM(D31*Table!$D$4/Table!$C$4,D12)</f>
        <v>0</v>
      </c>
      <c r="E50" s="65">
        <f>SUM(E31*Table!$D$4/Table!$C$4,E12)</f>
        <v>0</v>
      </c>
      <c r="F50" s="65">
        <f t="shared" ca="1" si="14"/>
        <v>6</v>
      </c>
      <c r="G50" s="65">
        <f t="shared" ca="1" si="15"/>
        <v>0</v>
      </c>
      <c r="H50" s="66" t="str">
        <f t="shared" si="16"/>
        <v>N/A</v>
      </c>
      <c r="I50" s="84">
        <f>COUNTIFS($S$60:$S$318,C50,$AK$60:$AK$318,Table!$C$41)</f>
        <v>0</v>
      </c>
      <c r="J50" s="84">
        <f>COUNTIFS($S$60:$S$318,C50,$AK$60:$AK$318,Table!$C$42)</f>
        <v>0</v>
      </c>
    </row>
    <row r="51" spans="2:40" ht="15.75" x14ac:dyDescent="0.25">
      <c r="B51" s="63">
        <v>10</v>
      </c>
      <c r="C51" s="73" t="s">
        <v>143</v>
      </c>
      <c r="D51" s="65">
        <f>SUM(D32*Table!$D$4/Table!$C$4,D13)</f>
        <v>4584</v>
      </c>
      <c r="E51" s="65">
        <f>SUM(E32*Table!$D$4/Table!$C$4,E13)</f>
        <v>4584</v>
      </c>
      <c r="F51" s="65">
        <f t="shared" ca="1" si="14"/>
        <v>6</v>
      </c>
      <c r="G51" s="65">
        <f t="shared" ref="G51:G55" ca="1" si="17">IF(ISERROR(E51/(F51)),"N/A",E51/F51)</f>
        <v>764</v>
      </c>
      <c r="H51" s="66">
        <f t="shared" ref="H51:H55" si="18">IF(ISERROR(E51/D51),"N/A",E51/D51)</f>
        <v>1</v>
      </c>
      <c r="I51" s="84">
        <f>COUNTIFS($S$60:$S$318,C51,$AK$60:$AK$318,Table!$C$41)</f>
        <v>2</v>
      </c>
      <c r="J51" s="84">
        <f>COUNTIFS($S$60:$S$318,C51,$AK$60:$AK$318,Table!$C$42)</f>
        <v>0</v>
      </c>
    </row>
    <row r="52" spans="2:40" ht="15.75" x14ac:dyDescent="0.25">
      <c r="B52" s="63">
        <v>11</v>
      </c>
      <c r="C52" s="64" t="s">
        <v>760</v>
      </c>
      <c r="D52" s="65">
        <f>SUM(D33*Table!$D$4/Table!$C$4,D14)</f>
        <v>0</v>
      </c>
      <c r="E52" s="65">
        <f>SUM(E33*Table!$D$4/Table!$C$4,E14)</f>
        <v>0</v>
      </c>
      <c r="F52" s="65">
        <f t="shared" ca="1" si="14"/>
        <v>6</v>
      </c>
      <c r="G52" s="65">
        <f t="shared" ca="1" si="17"/>
        <v>0</v>
      </c>
      <c r="H52" s="66" t="str">
        <f t="shared" si="18"/>
        <v>N/A</v>
      </c>
      <c r="I52" s="84">
        <f>COUNTIFS($S$60:$S$318,C52,$AK$60:$AK$318,Table!$C$41)</f>
        <v>0</v>
      </c>
      <c r="J52" s="84">
        <f>COUNTIFS($S$60:$S$318,C52,$AK$60:$AK$318,Table!$C$42)</f>
        <v>0</v>
      </c>
    </row>
    <row r="53" spans="2:40" ht="15.75" x14ac:dyDescent="0.25">
      <c r="B53" s="63">
        <v>12</v>
      </c>
      <c r="C53" s="64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14"/>
        <v>6</v>
      </c>
      <c r="G53" s="65">
        <f t="shared" ca="1" si="17"/>
        <v>0</v>
      </c>
      <c r="H53" s="66" t="str">
        <f t="shared" si="18"/>
        <v>N/A</v>
      </c>
      <c r="I53" s="84">
        <f>COUNTIFS($S$60:$S$318,C53,$AK$60:$AK$318,Table!$C$41)</f>
        <v>0</v>
      </c>
      <c r="J53" s="84">
        <f>COUNTIFS($S$60:$S$318,C53,$AK$60:$AK$318,Table!$C$42)</f>
        <v>0</v>
      </c>
    </row>
    <row r="54" spans="2:40" ht="15.75" x14ac:dyDescent="0.25">
      <c r="B54" s="63">
        <v>13</v>
      </c>
      <c r="C54" s="64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14"/>
        <v>6</v>
      </c>
      <c r="G54" s="65">
        <f t="shared" ca="1" si="17"/>
        <v>0</v>
      </c>
      <c r="H54" s="66" t="str">
        <f t="shared" si="18"/>
        <v>N/A</v>
      </c>
      <c r="I54" s="84">
        <f>COUNTIFS($S$60:$S$318,C54,$AK$60:$AK$318,Table!$C$41)</f>
        <v>0</v>
      </c>
      <c r="J54" s="84">
        <f>COUNTIFS($S$60:$S$318,C54,$AK$60:$AK$318,Table!$C$42)</f>
        <v>0</v>
      </c>
    </row>
    <row r="55" spans="2:40" ht="15.75" x14ac:dyDescent="0.25">
      <c r="B55" s="63">
        <v>14</v>
      </c>
      <c r="C55" s="64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14"/>
        <v>6</v>
      </c>
      <c r="G55" s="65">
        <f t="shared" ca="1" si="17"/>
        <v>0</v>
      </c>
      <c r="H55" s="66" t="str">
        <f t="shared" si="18"/>
        <v>N/A</v>
      </c>
      <c r="I55" s="84">
        <f>COUNTIFS($S$60:$S$318,C55,$AK$60:$AK$318,Table!$C$41)</f>
        <v>0</v>
      </c>
      <c r="J55" s="84">
        <f>COUNTIFS($S$60:$S$318,C55,$AK$60:$AK$318,Table!$C$42)</f>
        <v>0</v>
      </c>
    </row>
    <row r="56" spans="2:40" ht="15.75" x14ac:dyDescent="0.25">
      <c r="B56" s="61" t="s">
        <v>106</v>
      </c>
      <c r="C56" s="67"/>
      <c r="D56" s="65">
        <f>SUM(D42:D55)</f>
        <v>41417.692307692312</v>
      </c>
      <c r="E56" s="65">
        <f>SUM(E42:E55)</f>
        <v>34641.769230769227</v>
      </c>
      <c r="F56" s="65">
        <f ca="1">$K$20*COUNTA(C42:C55)</f>
        <v>84</v>
      </c>
      <c r="G56" s="65">
        <f ca="1">IF(ISERROR(E56/(F56)),"N/A",E56/F56)</f>
        <v>412.4020146520146</v>
      </c>
      <c r="H56" s="66">
        <f t="shared" si="13"/>
        <v>0.83640027487324242</v>
      </c>
      <c r="I56" s="84">
        <f>SUM(I42:I55)</f>
        <v>19</v>
      </c>
      <c r="J56" s="84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hidden="1" x14ac:dyDescent="0.25">
      <c r="B60" s="96">
        <v>1</v>
      </c>
      <c r="C60" s="16">
        <v>20200518</v>
      </c>
      <c r="D60" s="15" t="s">
        <v>3</v>
      </c>
      <c r="E60" s="15" t="s">
        <v>219</v>
      </c>
      <c r="F60" s="95" t="s">
        <v>315</v>
      </c>
      <c r="G60" s="17">
        <v>1452946</v>
      </c>
      <c r="H60" s="52" t="s">
        <v>61</v>
      </c>
      <c r="I60" s="15" t="s">
        <v>229</v>
      </c>
      <c r="J60" s="52" t="s">
        <v>61</v>
      </c>
      <c r="K60" s="15" t="s">
        <v>147</v>
      </c>
      <c r="L60" s="15" t="s">
        <v>267</v>
      </c>
      <c r="M60" s="15" t="s">
        <v>220</v>
      </c>
      <c r="N60" s="15" t="s">
        <v>223</v>
      </c>
      <c r="O60" s="17" t="s">
        <v>61</v>
      </c>
      <c r="P60" s="17" t="s">
        <v>263</v>
      </c>
      <c r="Q60" s="18"/>
      <c r="R60" s="52" t="s">
        <v>61</v>
      </c>
      <c r="S60" s="15" t="s">
        <v>68</v>
      </c>
      <c r="T60" s="15"/>
      <c r="U60" s="15"/>
      <c r="V60" s="15">
        <v>109</v>
      </c>
      <c r="W60" s="15">
        <f t="shared" ref="W60:W96" si="19">V60</f>
        <v>109</v>
      </c>
      <c r="X60" s="15">
        <f t="shared" ref="X60:X70" si="20">W60</f>
        <v>109</v>
      </c>
      <c r="Y60" s="15">
        <f>ROUNDDOWN(W60/HLOOKUP(D60,Table!$C$3:$D$4,2,0)*8,2)</f>
        <v>1.93</v>
      </c>
      <c r="Z60" s="15">
        <f>Y60</f>
        <v>1.93</v>
      </c>
      <c r="AA60" s="15" t="s">
        <v>21</v>
      </c>
      <c r="AB60" s="19">
        <v>43973</v>
      </c>
      <c r="AC60" s="19">
        <v>43969</v>
      </c>
      <c r="AD60" s="19">
        <v>43973</v>
      </c>
      <c r="AE60" s="19">
        <v>43971</v>
      </c>
      <c r="AF60" s="19">
        <v>43971</v>
      </c>
      <c r="AG60" s="19" t="s">
        <v>177</v>
      </c>
      <c r="AH60" s="31">
        <v>1</v>
      </c>
      <c r="AI60" s="31">
        <v>1</v>
      </c>
      <c r="AJ60" s="31">
        <v>1</v>
      </c>
      <c r="AK60" s="19" t="s">
        <v>151</v>
      </c>
      <c r="AL60" s="17" t="s">
        <v>61</v>
      </c>
      <c r="AM60" s="17" t="s">
        <v>61</v>
      </c>
      <c r="AN60" s="17" t="s">
        <v>61</v>
      </c>
    </row>
    <row r="61" spans="2:40" hidden="1" x14ac:dyDescent="0.25">
      <c r="B61" s="96">
        <f>B60+1</f>
        <v>2</v>
      </c>
      <c r="C61" s="16">
        <v>20200518</v>
      </c>
      <c r="D61" s="15" t="s">
        <v>3</v>
      </c>
      <c r="E61" s="15" t="s">
        <v>219</v>
      </c>
      <c r="F61" s="95" t="s">
        <v>316</v>
      </c>
      <c r="G61" s="17">
        <v>1452946</v>
      </c>
      <c r="H61" s="52" t="s">
        <v>61</v>
      </c>
      <c r="I61" s="15" t="s">
        <v>236</v>
      </c>
      <c r="J61" s="52" t="s">
        <v>61</v>
      </c>
      <c r="K61" s="15" t="s">
        <v>147</v>
      </c>
      <c r="L61" s="15" t="s">
        <v>267</v>
      </c>
      <c r="M61" s="15" t="s">
        <v>220</v>
      </c>
      <c r="N61" s="15" t="s">
        <v>223</v>
      </c>
      <c r="O61" s="17" t="s">
        <v>61</v>
      </c>
      <c r="P61" s="17" t="s">
        <v>263</v>
      </c>
      <c r="Q61" s="18"/>
      <c r="R61" s="52" t="s">
        <v>61</v>
      </c>
      <c r="S61" s="15" t="s">
        <v>68</v>
      </c>
      <c r="T61" s="15"/>
      <c r="U61" s="15"/>
      <c r="V61" s="15">
        <v>59</v>
      </c>
      <c r="W61" s="15">
        <f t="shared" si="19"/>
        <v>59</v>
      </c>
      <c r="X61" s="15">
        <f t="shared" si="20"/>
        <v>59</v>
      </c>
      <c r="Y61" s="15">
        <f>ROUNDDOWN(W61/HLOOKUP(D61,Table!$C$3:$D$4,2,0)*8,2)</f>
        <v>1.04</v>
      </c>
      <c r="Z61" s="15">
        <f>Y61</f>
        <v>1.04</v>
      </c>
      <c r="AA61" s="15" t="s">
        <v>21</v>
      </c>
      <c r="AB61" s="19">
        <v>43973</v>
      </c>
      <c r="AC61" s="19">
        <v>43969</v>
      </c>
      <c r="AD61" s="19">
        <v>43973</v>
      </c>
      <c r="AE61" s="19">
        <v>43971</v>
      </c>
      <c r="AF61" s="19">
        <v>43971</v>
      </c>
      <c r="AG61" s="19" t="s">
        <v>177</v>
      </c>
      <c r="AH61" s="31">
        <v>1</v>
      </c>
      <c r="AI61" s="31">
        <v>1</v>
      </c>
      <c r="AJ61" s="31">
        <v>1</v>
      </c>
      <c r="AK61" s="19" t="s">
        <v>151</v>
      </c>
      <c r="AL61" s="17" t="s">
        <v>61</v>
      </c>
      <c r="AM61" s="17" t="s">
        <v>61</v>
      </c>
      <c r="AN61" s="17" t="s">
        <v>61</v>
      </c>
    </row>
    <row r="62" spans="2:40" hidden="1" x14ac:dyDescent="0.25">
      <c r="B62" s="96">
        <f t="shared" ref="B62:B125" si="21">B61+1</f>
        <v>3</v>
      </c>
      <c r="C62" s="16">
        <v>20200518</v>
      </c>
      <c r="D62" s="15" t="s">
        <v>3</v>
      </c>
      <c r="E62" s="15" t="s">
        <v>219</v>
      </c>
      <c r="F62" s="95" t="s">
        <v>315</v>
      </c>
      <c r="G62" s="17">
        <v>1452946</v>
      </c>
      <c r="H62" s="52" t="s">
        <v>61</v>
      </c>
      <c r="I62" s="15" t="s">
        <v>230</v>
      </c>
      <c r="J62" s="52" t="s">
        <v>61</v>
      </c>
      <c r="K62" s="15" t="s">
        <v>147</v>
      </c>
      <c r="L62" s="15" t="s">
        <v>267</v>
      </c>
      <c r="M62" s="15" t="s">
        <v>220</v>
      </c>
      <c r="N62" s="15" t="s">
        <v>223</v>
      </c>
      <c r="O62" s="17" t="s">
        <v>61</v>
      </c>
      <c r="P62" s="17" t="s">
        <v>263</v>
      </c>
      <c r="Q62" s="18"/>
      <c r="R62" s="52" t="s">
        <v>61</v>
      </c>
      <c r="S62" s="15" t="s">
        <v>69</v>
      </c>
      <c r="T62" s="15"/>
      <c r="U62" s="15"/>
      <c r="V62" s="15">
        <v>125</v>
      </c>
      <c r="W62" s="15">
        <f t="shared" si="19"/>
        <v>125</v>
      </c>
      <c r="X62" s="15">
        <f t="shared" si="20"/>
        <v>125</v>
      </c>
      <c r="Y62" s="15">
        <f>ROUNDDOWN(W62/HLOOKUP(D62,Table!$C$3:$D$4,2,0)*8,2)</f>
        <v>2.2200000000000002</v>
      </c>
      <c r="Z62" s="15">
        <v>2</v>
      </c>
      <c r="AA62" s="15" t="s">
        <v>21</v>
      </c>
      <c r="AB62" s="19">
        <v>43973</v>
      </c>
      <c r="AC62" s="19">
        <v>43969</v>
      </c>
      <c r="AD62" s="19">
        <v>43973</v>
      </c>
      <c r="AE62" s="19">
        <v>43969</v>
      </c>
      <c r="AF62" s="19">
        <v>43969</v>
      </c>
      <c r="AG62" s="19" t="s">
        <v>177</v>
      </c>
      <c r="AH62" s="31">
        <v>1</v>
      </c>
      <c r="AI62" s="31">
        <v>1</v>
      </c>
      <c r="AJ62" s="31">
        <v>1</v>
      </c>
      <c r="AK62" s="19" t="s">
        <v>151</v>
      </c>
      <c r="AL62" s="17" t="s">
        <v>61</v>
      </c>
      <c r="AM62" s="17" t="s">
        <v>61</v>
      </c>
      <c r="AN62" s="17" t="s">
        <v>61</v>
      </c>
    </row>
    <row r="63" spans="2:40" s="118" customFormat="1" hidden="1" x14ac:dyDescent="0.25">
      <c r="B63" s="96">
        <f t="shared" si="21"/>
        <v>4</v>
      </c>
      <c r="C63" s="119">
        <v>20200518</v>
      </c>
      <c r="D63" s="119" t="s">
        <v>3</v>
      </c>
      <c r="E63" s="119" t="s">
        <v>219</v>
      </c>
      <c r="F63" s="121" t="s">
        <v>316</v>
      </c>
      <c r="G63" s="120">
        <v>1452946</v>
      </c>
      <c r="H63" s="129" t="s">
        <v>61</v>
      </c>
      <c r="I63" s="119" t="s">
        <v>201</v>
      </c>
      <c r="J63" s="129" t="s">
        <v>61</v>
      </c>
      <c r="K63" s="119" t="s">
        <v>147</v>
      </c>
      <c r="L63" s="119" t="s">
        <v>267</v>
      </c>
      <c r="M63" s="119" t="s">
        <v>220</v>
      </c>
      <c r="N63" s="119" t="s">
        <v>223</v>
      </c>
      <c r="O63" s="120" t="s">
        <v>61</v>
      </c>
      <c r="P63" s="120" t="s">
        <v>263</v>
      </c>
      <c r="Q63" s="18"/>
      <c r="R63" s="52" t="s">
        <v>61</v>
      </c>
      <c r="S63" s="119" t="s">
        <v>68</v>
      </c>
      <c r="T63" s="119"/>
      <c r="U63" s="119"/>
      <c r="V63" s="119">
        <v>18</v>
      </c>
      <c r="W63" s="119">
        <f>V63</f>
        <v>18</v>
      </c>
      <c r="X63" s="119">
        <f t="shared" si="20"/>
        <v>18</v>
      </c>
      <c r="Y63" s="119">
        <f>ROUNDDOWN(W63/HLOOKUP(D63,Table!$C$3:$D$4,2,0)*8,2)</f>
        <v>0.32</v>
      </c>
      <c r="Z63" s="119">
        <f>Y63</f>
        <v>0.32</v>
      </c>
      <c r="AA63" s="15" t="s">
        <v>21</v>
      </c>
      <c r="AB63" s="19">
        <v>43973</v>
      </c>
      <c r="AC63" s="116">
        <v>43969</v>
      </c>
      <c r="AD63" s="116">
        <v>43973</v>
      </c>
      <c r="AE63" s="116">
        <v>43971</v>
      </c>
      <c r="AF63" s="116">
        <v>43971</v>
      </c>
      <c r="AG63" s="116" t="s">
        <v>177</v>
      </c>
      <c r="AH63" s="117">
        <v>1</v>
      </c>
      <c r="AI63" s="117">
        <v>1</v>
      </c>
      <c r="AJ63" s="117">
        <v>1</v>
      </c>
      <c r="AK63" s="116" t="s">
        <v>151</v>
      </c>
      <c r="AL63" s="120" t="s">
        <v>61</v>
      </c>
      <c r="AM63" s="120" t="s">
        <v>61</v>
      </c>
      <c r="AN63" s="120" t="s">
        <v>61</v>
      </c>
    </row>
    <row r="64" spans="2:40" hidden="1" x14ac:dyDescent="0.25">
      <c r="B64" s="96">
        <f t="shared" si="21"/>
        <v>5</v>
      </c>
      <c r="C64" s="16">
        <v>20200518</v>
      </c>
      <c r="D64" s="15" t="s">
        <v>3</v>
      </c>
      <c r="E64" s="15" t="s">
        <v>219</v>
      </c>
      <c r="F64" s="95" t="s">
        <v>317</v>
      </c>
      <c r="G64" s="17">
        <v>1452946</v>
      </c>
      <c r="H64" s="52" t="s">
        <v>61</v>
      </c>
      <c r="I64" s="15" t="s">
        <v>202</v>
      </c>
      <c r="J64" s="52" t="s">
        <v>61</v>
      </c>
      <c r="K64" s="15" t="s">
        <v>147</v>
      </c>
      <c r="L64" s="15" t="s">
        <v>267</v>
      </c>
      <c r="M64" s="15" t="s">
        <v>220</v>
      </c>
      <c r="N64" s="15" t="s">
        <v>223</v>
      </c>
      <c r="O64" s="17" t="s">
        <v>61</v>
      </c>
      <c r="P64" s="17" t="s">
        <v>263</v>
      </c>
      <c r="Q64" s="18"/>
      <c r="R64" s="52" t="s">
        <v>61</v>
      </c>
      <c r="S64" s="15" t="s">
        <v>67</v>
      </c>
      <c r="T64" s="15"/>
      <c r="U64" s="15"/>
      <c r="V64" s="15">
        <v>220</v>
      </c>
      <c r="W64" s="15">
        <f t="shared" si="19"/>
        <v>220</v>
      </c>
      <c r="X64" s="15">
        <f t="shared" si="20"/>
        <v>220</v>
      </c>
      <c r="Y64" s="15">
        <f>ROUNDDOWN(W64/HLOOKUP(D64,Table!$C$3:$D$4,2,0)*8,2)</f>
        <v>3.91</v>
      </c>
      <c r="Z64" s="15">
        <v>3</v>
      </c>
      <c r="AA64" s="15" t="s">
        <v>21</v>
      </c>
      <c r="AB64" s="19">
        <v>43973</v>
      </c>
      <c r="AC64" s="19">
        <v>43969</v>
      </c>
      <c r="AD64" s="19">
        <v>43973</v>
      </c>
      <c r="AE64" s="19">
        <v>43971</v>
      </c>
      <c r="AF64" s="19">
        <v>43971</v>
      </c>
      <c r="AG64" s="19" t="s">
        <v>177</v>
      </c>
      <c r="AH64" s="31">
        <v>1</v>
      </c>
      <c r="AI64" s="31">
        <v>1</v>
      </c>
      <c r="AJ64" s="31">
        <v>1</v>
      </c>
      <c r="AK64" s="19" t="s">
        <v>151</v>
      </c>
      <c r="AL64" s="17" t="s">
        <v>61</v>
      </c>
      <c r="AM64" s="17" t="s">
        <v>61</v>
      </c>
      <c r="AN64" s="17" t="s">
        <v>61</v>
      </c>
    </row>
    <row r="65" spans="2:40" s="118" customFormat="1" hidden="1" x14ac:dyDescent="0.25">
      <c r="B65" s="96">
        <f t="shared" si="21"/>
        <v>6</v>
      </c>
      <c r="C65" s="119">
        <v>20200518</v>
      </c>
      <c r="D65" s="119" t="s">
        <v>3</v>
      </c>
      <c r="E65" s="119" t="s">
        <v>219</v>
      </c>
      <c r="F65" s="121" t="s">
        <v>318</v>
      </c>
      <c r="G65" s="120">
        <v>1452946</v>
      </c>
      <c r="H65" s="129" t="s">
        <v>61</v>
      </c>
      <c r="I65" s="119" t="s">
        <v>237</v>
      </c>
      <c r="J65" s="129" t="s">
        <v>61</v>
      </c>
      <c r="K65" s="119" t="s">
        <v>147</v>
      </c>
      <c r="L65" s="119" t="s">
        <v>267</v>
      </c>
      <c r="M65" s="119" t="s">
        <v>220</v>
      </c>
      <c r="N65" s="119" t="s">
        <v>223</v>
      </c>
      <c r="O65" s="120" t="s">
        <v>61</v>
      </c>
      <c r="P65" s="120" t="s">
        <v>263</v>
      </c>
      <c r="Q65" s="18"/>
      <c r="R65" s="52" t="s">
        <v>61</v>
      </c>
      <c r="S65" s="119" t="s">
        <v>68</v>
      </c>
      <c r="T65" s="119"/>
      <c r="U65" s="119"/>
      <c r="V65" s="119">
        <v>117</v>
      </c>
      <c r="W65" s="119">
        <f>V65</f>
        <v>117</v>
      </c>
      <c r="X65" s="119">
        <f t="shared" si="20"/>
        <v>117</v>
      </c>
      <c r="Y65" s="119">
        <f>ROUNDDOWN(W65/HLOOKUP(D65,Table!$C$3:$D$4,2,0)*8,2)</f>
        <v>2.08</v>
      </c>
      <c r="Z65" s="119">
        <f>Y65</f>
        <v>2.08</v>
      </c>
      <c r="AA65" s="15" t="s">
        <v>21</v>
      </c>
      <c r="AB65" s="19">
        <v>43973</v>
      </c>
      <c r="AC65" s="116">
        <v>43969</v>
      </c>
      <c r="AD65" s="116">
        <v>43973</v>
      </c>
      <c r="AE65" s="116">
        <v>43971</v>
      </c>
      <c r="AF65" s="116">
        <v>43971</v>
      </c>
      <c r="AG65" s="116" t="s">
        <v>177</v>
      </c>
      <c r="AH65" s="117">
        <v>1</v>
      </c>
      <c r="AI65" s="117">
        <v>1</v>
      </c>
      <c r="AJ65" s="117">
        <v>1</v>
      </c>
      <c r="AK65" s="116" t="s">
        <v>151</v>
      </c>
      <c r="AL65" s="120" t="s">
        <v>61</v>
      </c>
      <c r="AM65" s="120" t="s">
        <v>61</v>
      </c>
      <c r="AN65" s="120"/>
    </row>
    <row r="66" spans="2:40" hidden="1" x14ac:dyDescent="0.25">
      <c r="B66" s="96">
        <f t="shared" si="21"/>
        <v>7</v>
      </c>
      <c r="C66" s="16">
        <v>20200518</v>
      </c>
      <c r="D66" s="15" t="s">
        <v>3</v>
      </c>
      <c r="E66" s="15" t="s">
        <v>219</v>
      </c>
      <c r="F66" s="95" t="s">
        <v>318</v>
      </c>
      <c r="G66" s="17">
        <v>1452946</v>
      </c>
      <c r="H66" s="52" t="s">
        <v>61</v>
      </c>
      <c r="I66" s="15" t="s">
        <v>238</v>
      </c>
      <c r="J66" s="52" t="s">
        <v>61</v>
      </c>
      <c r="K66" s="15" t="s">
        <v>147</v>
      </c>
      <c r="L66" s="15" t="s">
        <v>267</v>
      </c>
      <c r="M66" s="15" t="s">
        <v>220</v>
      </c>
      <c r="N66" s="15" t="s">
        <v>223</v>
      </c>
      <c r="O66" s="17" t="s">
        <v>61</v>
      </c>
      <c r="P66" s="17" t="s">
        <v>263</v>
      </c>
      <c r="Q66" s="18"/>
      <c r="R66" s="52" t="s">
        <v>61</v>
      </c>
      <c r="S66" s="15" t="s">
        <v>69</v>
      </c>
      <c r="T66" s="15"/>
      <c r="U66" s="15"/>
      <c r="V66" s="15">
        <v>18</v>
      </c>
      <c r="W66" s="15">
        <f t="shared" si="19"/>
        <v>18</v>
      </c>
      <c r="X66" s="15">
        <f t="shared" si="20"/>
        <v>18</v>
      </c>
      <c r="Y66" s="15">
        <f>ROUNDDOWN(W66/HLOOKUP(D66,Table!$C$3:$D$4,2,0)*8,2)</f>
        <v>0.32</v>
      </c>
      <c r="Z66" s="15">
        <v>0.3</v>
      </c>
      <c r="AA66" s="15" t="s">
        <v>21</v>
      </c>
      <c r="AB66" s="19">
        <v>43973</v>
      </c>
      <c r="AC66" s="19">
        <v>43969</v>
      </c>
      <c r="AD66" s="19">
        <v>43973</v>
      </c>
      <c r="AE66" s="19">
        <v>43969</v>
      </c>
      <c r="AF66" s="19">
        <v>43969</v>
      </c>
      <c r="AG66" s="19" t="s">
        <v>177</v>
      </c>
      <c r="AH66" s="31">
        <v>1</v>
      </c>
      <c r="AI66" s="31">
        <v>1</v>
      </c>
      <c r="AJ66" s="31">
        <v>1</v>
      </c>
      <c r="AK66" s="19" t="s">
        <v>151</v>
      </c>
      <c r="AL66" s="17" t="s">
        <v>61</v>
      </c>
      <c r="AM66" s="17" t="s">
        <v>61</v>
      </c>
      <c r="AN66" s="17" t="s">
        <v>61</v>
      </c>
    </row>
    <row r="67" spans="2:40" s="114" customFormat="1" hidden="1" x14ac:dyDescent="0.25">
      <c r="B67" s="128">
        <f t="shared" si="21"/>
        <v>8</v>
      </c>
      <c r="C67" s="16">
        <v>20200518</v>
      </c>
      <c r="D67" s="16" t="s">
        <v>3</v>
      </c>
      <c r="E67" s="16" t="s">
        <v>219</v>
      </c>
      <c r="F67" s="115" t="s">
        <v>318</v>
      </c>
      <c r="G67" s="101">
        <v>1452946</v>
      </c>
      <c r="H67" s="52" t="s">
        <v>61</v>
      </c>
      <c r="I67" s="16" t="s">
        <v>239</v>
      </c>
      <c r="J67" s="52" t="s">
        <v>61</v>
      </c>
      <c r="K67" s="16" t="s">
        <v>147</v>
      </c>
      <c r="L67" s="16" t="s">
        <v>267</v>
      </c>
      <c r="M67" s="16" t="s">
        <v>220</v>
      </c>
      <c r="N67" s="16" t="s">
        <v>223</v>
      </c>
      <c r="O67" s="101" t="s">
        <v>61</v>
      </c>
      <c r="P67" s="101" t="s">
        <v>263</v>
      </c>
      <c r="Q67" s="18"/>
      <c r="R67" s="52" t="s">
        <v>61</v>
      </c>
      <c r="S67" s="16" t="s">
        <v>68</v>
      </c>
      <c r="T67" s="16"/>
      <c r="U67" s="16"/>
      <c r="V67" s="16">
        <v>49</v>
      </c>
      <c r="W67" s="16">
        <f>V67</f>
        <v>49</v>
      </c>
      <c r="X67" s="16">
        <f t="shared" si="20"/>
        <v>49</v>
      </c>
      <c r="Y67" s="16">
        <f>ROUNDDOWN(W67/HLOOKUP(D67,Table!$C$3:$D$4,2,0)*8,2)</f>
        <v>0.87</v>
      </c>
      <c r="Z67" s="16">
        <f>Y67</f>
        <v>0.87</v>
      </c>
      <c r="AA67" s="15" t="s">
        <v>21</v>
      </c>
      <c r="AB67" s="19">
        <v>43973</v>
      </c>
      <c r="AC67" s="102">
        <v>43969</v>
      </c>
      <c r="AD67" s="102">
        <v>43973</v>
      </c>
      <c r="AE67" s="102">
        <v>43971</v>
      </c>
      <c r="AF67" s="102">
        <v>43971</v>
      </c>
      <c r="AG67" s="102" t="s">
        <v>177</v>
      </c>
      <c r="AH67" s="103">
        <v>1</v>
      </c>
      <c r="AI67" s="103">
        <v>1</v>
      </c>
      <c r="AJ67" s="103">
        <v>1</v>
      </c>
      <c r="AK67" s="102" t="s">
        <v>151</v>
      </c>
      <c r="AL67" s="101" t="s">
        <v>61</v>
      </c>
      <c r="AM67" s="101" t="s">
        <v>61</v>
      </c>
      <c r="AN67" s="101" t="s">
        <v>61</v>
      </c>
    </row>
    <row r="68" spans="2:40" hidden="1" x14ac:dyDescent="0.25">
      <c r="B68" s="96">
        <f t="shared" si="21"/>
        <v>9</v>
      </c>
      <c r="C68" s="16">
        <v>20200518</v>
      </c>
      <c r="D68" s="15" t="s">
        <v>3</v>
      </c>
      <c r="E68" s="15" t="s">
        <v>219</v>
      </c>
      <c r="F68" s="95" t="s">
        <v>318</v>
      </c>
      <c r="G68" s="17">
        <v>1452946</v>
      </c>
      <c r="H68" s="52" t="s">
        <v>61</v>
      </c>
      <c r="I68" s="15" t="s">
        <v>240</v>
      </c>
      <c r="J68" s="52" t="s">
        <v>61</v>
      </c>
      <c r="K68" s="15" t="s">
        <v>147</v>
      </c>
      <c r="L68" s="15" t="s">
        <v>267</v>
      </c>
      <c r="M68" s="15" t="s">
        <v>220</v>
      </c>
      <c r="N68" s="15" t="s">
        <v>223</v>
      </c>
      <c r="O68" s="17" t="s">
        <v>61</v>
      </c>
      <c r="P68" s="17" t="s">
        <v>263</v>
      </c>
      <c r="Q68" s="18"/>
      <c r="R68" s="52" t="s">
        <v>61</v>
      </c>
      <c r="S68" s="15" t="s">
        <v>69</v>
      </c>
      <c r="T68" s="15"/>
      <c r="U68" s="15"/>
      <c r="V68" s="15">
        <v>175</v>
      </c>
      <c r="W68" s="15">
        <f t="shared" si="19"/>
        <v>175</v>
      </c>
      <c r="X68" s="15">
        <f t="shared" si="20"/>
        <v>175</v>
      </c>
      <c r="Y68" s="15">
        <f>ROUNDDOWN(W68/HLOOKUP(D68,Table!$C$3:$D$4,2,0)*8,2)</f>
        <v>3.11</v>
      </c>
      <c r="Z68" s="15">
        <v>3</v>
      </c>
      <c r="AA68" s="15" t="s">
        <v>21</v>
      </c>
      <c r="AB68" s="19">
        <v>43973</v>
      </c>
      <c r="AC68" s="19">
        <v>43969</v>
      </c>
      <c r="AD68" s="19">
        <v>43973</v>
      </c>
      <c r="AE68" s="19">
        <v>43969</v>
      </c>
      <c r="AF68" s="19">
        <v>43969</v>
      </c>
      <c r="AG68" s="19" t="s">
        <v>177</v>
      </c>
      <c r="AH68" s="31">
        <v>1</v>
      </c>
      <c r="AI68" s="31">
        <v>1</v>
      </c>
      <c r="AJ68" s="31">
        <v>1</v>
      </c>
      <c r="AK68" s="19" t="s">
        <v>151</v>
      </c>
      <c r="AL68" s="17" t="s">
        <v>61</v>
      </c>
      <c r="AM68" s="17" t="s">
        <v>61</v>
      </c>
      <c r="AN68" s="17" t="s">
        <v>61</v>
      </c>
    </row>
    <row r="69" spans="2:40" hidden="1" x14ac:dyDescent="0.25">
      <c r="B69" s="96">
        <f t="shared" si="21"/>
        <v>10</v>
      </c>
      <c r="C69" s="16">
        <v>20200518</v>
      </c>
      <c r="D69" s="15" t="s">
        <v>3</v>
      </c>
      <c r="E69" s="15" t="s">
        <v>219</v>
      </c>
      <c r="F69" s="95" t="s">
        <v>318</v>
      </c>
      <c r="G69" s="17">
        <v>1452946</v>
      </c>
      <c r="H69" s="52" t="s">
        <v>61</v>
      </c>
      <c r="I69" s="15" t="s">
        <v>241</v>
      </c>
      <c r="J69" s="52" t="s">
        <v>61</v>
      </c>
      <c r="K69" s="15" t="s">
        <v>147</v>
      </c>
      <c r="L69" s="15" t="s">
        <v>267</v>
      </c>
      <c r="M69" s="15" t="s">
        <v>220</v>
      </c>
      <c r="N69" s="15" t="s">
        <v>223</v>
      </c>
      <c r="O69" s="17" t="s">
        <v>61</v>
      </c>
      <c r="P69" s="17" t="s">
        <v>263</v>
      </c>
      <c r="Q69" s="18"/>
      <c r="R69" s="52" t="s">
        <v>61</v>
      </c>
      <c r="S69" s="15" t="s">
        <v>69</v>
      </c>
      <c r="T69" s="15"/>
      <c r="U69" s="15"/>
      <c r="V69" s="15">
        <v>76</v>
      </c>
      <c r="W69" s="15">
        <f t="shared" si="19"/>
        <v>76</v>
      </c>
      <c r="X69" s="15">
        <f t="shared" si="20"/>
        <v>76</v>
      </c>
      <c r="Y69" s="15">
        <f>ROUNDDOWN(W69/HLOOKUP(D69,Table!$C$3:$D$4,2,0)*8,2)</f>
        <v>1.35</v>
      </c>
      <c r="Z69" s="15">
        <v>1</v>
      </c>
      <c r="AA69" s="15" t="s">
        <v>21</v>
      </c>
      <c r="AB69" s="19">
        <v>43973</v>
      </c>
      <c r="AC69" s="19">
        <v>43969</v>
      </c>
      <c r="AD69" s="19">
        <v>43973</v>
      </c>
      <c r="AE69" s="19">
        <v>43969</v>
      </c>
      <c r="AF69" s="19">
        <v>43969</v>
      </c>
      <c r="AG69" s="19" t="s">
        <v>177</v>
      </c>
      <c r="AH69" s="31">
        <v>1</v>
      </c>
      <c r="AI69" s="31">
        <v>1</v>
      </c>
      <c r="AJ69" s="31">
        <v>1</v>
      </c>
      <c r="AK69" s="19" t="s">
        <v>151</v>
      </c>
      <c r="AL69" s="17" t="s">
        <v>61</v>
      </c>
      <c r="AM69" s="17" t="s">
        <v>61</v>
      </c>
      <c r="AN69" s="17" t="s">
        <v>61</v>
      </c>
    </row>
    <row r="70" spans="2:40" hidden="1" x14ac:dyDescent="0.25">
      <c r="B70" s="96">
        <f t="shared" si="21"/>
        <v>11</v>
      </c>
      <c r="C70" s="16">
        <v>20200518</v>
      </c>
      <c r="D70" s="15" t="s">
        <v>3</v>
      </c>
      <c r="E70" s="15" t="s">
        <v>219</v>
      </c>
      <c r="F70" s="149" t="s">
        <v>318</v>
      </c>
      <c r="G70" s="110">
        <v>1452946</v>
      </c>
      <c r="H70" s="130" t="s">
        <v>61</v>
      </c>
      <c r="I70" s="109" t="s">
        <v>242</v>
      </c>
      <c r="J70" s="52" t="s">
        <v>61</v>
      </c>
      <c r="K70" s="15" t="s">
        <v>147</v>
      </c>
      <c r="L70" s="15" t="s">
        <v>267</v>
      </c>
      <c r="M70" s="15" t="s">
        <v>220</v>
      </c>
      <c r="N70" s="15" t="s">
        <v>223</v>
      </c>
      <c r="O70" s="17" t="s">
        <v>61</v>
      </c>
      <c r="P70" s="17" t="s">
        <v>263</v>
      </c>
      <c r="Q70" s="18"/>
      <c r="R70" s="52" t="s">
        <v>61</v>
      </c>
      <c r="S70" s="15" t="s">
        <v>68</v>
      </c>
      <c r="T70" s="15"/>
      <c r="U70" s="15"/>
      <c r="V70" s="15">
        <v>124</v>
      </c>
      <c r="W70" s="15">
        <f t="shared" si="19"/>
        <v>124</v>
      </c>
      <c r="X70" s="15">
        <f t="shared" si="20"/>
        <v>124</v>
      </c>
      <c r="Y70" s="15">
        <f>ROUNDDOWN(W70/HLOOKUP(D70,Table!$C$3:$D$4,2,0)*8,2)</f>
        <v>2.2000000000000002</v>
      </c>
      <c r="Z70" s="15">
        <f>Y70</f>
        <v>2.2000000000000002</v>
      </c>
      <c r="AA70" s="15" t="s">
        <v>21</v>
      </c>
      <c r="AB70" s="19">
        <v>43973</v>
      </c>
      <c r="AC70" s="19">
        <v>43969</v>
      </c>
      <c r="AD70" s="19">
        <v>43973</v>
      </c>
      <c r="AE70" s="19">
        <v>43971</v>
      </c>
      <c r="AF70" s="19">
        <v>43971</v>
      </c>
      <c r="AG70" s="19" t="s">
        <v>177</v>
      </c>
      <c r="AH70" s="31">
        <v>1</v>
      </c>
      <c r="AI70" s="31">
        <v>1</v>
      </c>
      <c r="AJ70" s="31">
        <v>1</v>
      </c>
      <c r="AK70" s="19" t="s">
        <v>151</v>
      </c>
      <c r="AL70" s="17" t="s">
        <v>61</v>
      </c>
      <c r="AM70" s="17" t="s">
        <v>61</v>
      </c>
      <c r="AN70" s="17" t="s">
        <v>61</v>
      </c>
    </row>
    <row r="71" spans="2:40" hidden="1" x14ac:dyDescent="0.25">
      <c r="B71" s="96">
        <f t="shared" si="21"/>
        <v>12</v>
      </c>
      <c r="C71" s="16">
        <v>20200518</v>
      </c>
      <c r="D71" s="15" t="s">
        <v>3</v>
      </c>
      <c r="E71" s="15" t="s">
        <v>219</v>
      </c>
      <c r="F71" s="95" t="s">
        <v>318</v>
      </c>
      <c r="G71" s="17">
        <v>1452946</v>
      </c>
      <c r="H71" s="52" t="s">
        <v>61</v>
      </c>
      <c r="I71" s="15" t="s">
        <v>243</v>
      </c>
      <c r="J71" s="52" t="s">
        <v>61</v>
      </c>
      <c r="K71" s="15" t="s">
        <v>147</v>
      </c>
      <c r="L71" s="15" t="s">
        <v>267</v>
      </c>
      <c r="M71" s="15" t="s">
        <v>220</v>
      </c>
      <c r="N71" s="15" t="s">
        <v>223</v>
      </c>
      <c r="O71" s="17" t="s">
        <v>61</v>
      </c>
      <c r="P71" s="17" t="s">
        <v>263</v>
      </c>
      <c r="Q71" s="18"/>
      <c r="R71" s="52" t="s">
        <v>61</v>
      </c>
      <c r="S71" s="15" t="s">
        <v>67</v>
      </c>
      <c r="T71" s="15"/>
      <c r="U71" s="15"/>
      <c r="V71" s="15">
        <v>29</v>
      </c>
      <c r="W71" s="15">
        <f t="shared" si="19"/>
        <v>29</v>
      </c>
      <c r="X71" s="15">
        <f t="shared" ref="X71:X78" si="22">W71</f>
        <v>29</v>
      </c>
      <c r="Y71" s="15">
        <f>ROUNDDOWN(W71/HLOOKUP(D71,Table!$C$3:$D$4,2,0)*8,2)</f>
        <v>0.51</v>
      </c>
      <c r="Z71" s="15">
        <v>0.5</v>
      </c>
      <c r="AA71" s="15" t="s">
        <v>21</v>
      </c>
      <c r="AB71" s="19">
        <v>43973</v>
      </c>
      <c r="AC71" s="19">
        <v>43969</v>
      </c>
      <c r="AD71" s="19">
        <v>43973</v>
      </c>
      <c r="AE71" s="19">
        <v>43971</v>
      </c>
      <c r="AF71" s="19">
        <v>43971</v>
      </c>
      <c r="AG71" s="19" t="s">
        <v>177</v>
      </c>
      <c r="AH71" s="31">
        <v>1</v>
      </c>
      <c r="AI71" s="31">
        <v>1</v>
      </c>
      <c r="AJ71" s="31">
        <v>1</v>
      </c>
      <c r="AK71" s="19" t="s">
        <v>151</v>
      </c>
      <c r="AL71" s="17" t="s">
        <v>61</v>
      </c>
      <c r="AM71" s="17" t="s">
        <v>61</v>
      </c>
      <c r="AN71" s="17" t="s">
        <v>61</v>
      </c>
    </row>
    <row r="72" spans="2:40" hidden="1" x14ac:dyDescent="0.25">
      <c r="B72" s="96">
        <f t="shared" si="21"/>
        <v>13</v>
      </c>
      <c r="C72" s="16">
        <v>20200518</v>
      </c>
      <c r="D72" s="15" t="s">
        <v>3</v>
      </c>
      <c r="E72" s="15" t="s">
        <v>219</v>
      </c>
      <c r="F72" s="95" t="s">
        <v>318</v>
      </c>
      <c r="G72" s="17">
        <v>1452946</v>
      </c>
      <c r="H72" s="52" t="s">
        <v>61</v>
      </c>
      <c r="I72" s="15" t="s">
        <v>244</v>
      </c>
      <c r="J72" s="52" t="s">
        <v>61</v>
      </c>
      <c r="K72" s="15" t="s">
        <v>147</v>
      </c>
      <c r="L72" s="15" t="s">
        <v>267</v>
      </c>
      <c r="M72" s="15" t="s">
        <v>220</v>
      </c>
      <c r="N72" s="15" t="s">
        <v>223</v>
      </c>
      <c r="O72" s="17" t="s">
        <v>61</v>
      </c>
      <c r="P72" s="17" t="s">
        <v>263</v>
      </c>
      <c r="Q72" s="18"/>
      <c r="R72" s="52" t="s">
        <v>61</v>
      </c>
      <c r="S72" s="15" t="s">
        <v>70</v>
      </c>
      <c r="T72" s="15"/>
      <c r="U72" s="15"/>
      <c r="V72" s="15">
        <v>17</v>
      </c>
      <c r="W72" s="15">
        <f t="shared" si="19"/>
        <v>17</v>
      </c>
      <c r="X72" s="15">
        <f t="shared" si="22"/>
        <v>17</v>
      </c>
      <c r="Y72" s="15">
        <f>ROUNDDOWN(W72/HLOOKUP(D72,Table!$C$3:$D$4,2,0)*8,2)</f>
        <v>0.3</v>
      </c>
      <c r="Z72" s="15">
        <v>0.5</v>
      </c>
      <c r="AA72" s="15" t="s">
        <v>21</v>
      </c>
      <c r="AB72" s="19">
        <v>43973</v>
      </c>
      <c r="AC72" s="19">
        <v>43969</v>
      </c>
      <c r="AD72" s="19">
        <v>43973</v>
      </c>
      <c r="AE72" s="19">
        <v>43969</v>
      </c>
      <c r="AF72" s="19">
        <v>43969</v>
      </c>
      <c r="AG72" s="19" t="s">
        <v>177</v>
      </c>
      <c r="AH72" s="31">
        <v>1</v>
      </c>
      <c r="AI72" s="31">
        <v>1</v>
      </c>
      <c r="AJ72" s="31">
        <v>1</v>
      </c>
      <c r="AK72" s="19" t="s">
        <v>151</v>
      </c>
      <c r="AL72" s="17" t="s">
        <v>61</v>
      </c>
      <c r="AM72" s="17" t="s">
        <v>61</v>
      </c>
      <c r="AN72" s="17" t="s">
        <v>61</v>
      </c>
    </row>
    <row r="73" spans="2:40" s="104" customFormat="1" hidden="1" x14ac:dyDescent="0.25">
      <c r="B73" s="96">
        <f t="shared" si="21"/>
        <v>14</v>
      </c>
      <c r="C73" s="16">
        <v>20200518</v>
      </c>
      <c r="D73" s="16" t="s">
        <v>3</v>
      </c>
      <c r="E73" s="16" t="s">
        <v>219</v>
      </c>
      <c r="F73" s="100" t="s">
        <v>318</v>
      </c>
      <c r="G73" s="101">
        <v>1452946</v>
      </c>
      <c r="H73" s="52" t="s">
        <v>61</v>
      </c>
      <c r="I73" s="16" t="s">
        <v>245</v>
      </c>
      <c r="J73" s="52" t="s">
        <v>61</v>
      </c>
      <c r="K73" s="16" t="s">
        <v>147</v>
      </c>
      <c r="L73" s="16" t="s">
        <v>267</v>
      </c>
      <c r="M73" s="16" t="s">
        <v>220</v>
      </c>
      <c r="N73" s="16" t="s">
        <v>223</v>
      </c>
      <c r="O73" s="101" t="s">
        <v>61</v>
      </c>
      <c r="P73" s="101" t="s">
        <v>263</v>
      </c>
      <c r="Q73" s="18"/>
      <c r="R73" s="52" t="s">
        <v>61</v>
      </c>
      <c r="S73" s="16" t="s">
        <v>69</v>
      </c>
      <c r="T73" s="16"/>
      <c r="U73" s="16"/>
      <c r="V73" s="16">
        <v>90</v>
      </c>
      <c r="W73" s="16">
        <f t="shared" si="19"/>
        <v>90</v>
      </c>
      <c r="X73" s="16">
        <f t="shared" si="22"/>
        <v>90</v>
      </c>
      <c r="Y73" s="16">
        <f>ROUNDDOWN(W73/HLOOKUP(D73,Table!$C$3:$D$4,2,0)*8,2)</f>
        <v>1.6</v>
      </c>
      <c r="Z73" s="16">
        <v>0.5</v>
      </c>
      <c r="AA73" s="15" t="s">
        <v>21</v>
      </c>
      <c r="AB73" s="19">
        <v>43973</v>
      </c>
      <c r="AC73" s="102">
        <v>43969</v>
      </c>
      <c r="AD73" s="102">
        <v>43973</v>
      </c>
      <c r="AE73" s="102">
        <v>43970</v>
      </c>
      <c r="AF73" s="102">
        <v>43970</v>
      </c>
      <c r="AG73" s="102" t="s">
        <v>177</v>
      </c>
      <c r="AH73" s="103">
        <v>1</v>
      </c>
      <c r="AI73" s="103">
        <v>1</v>
      </c>
      <c r="AJ73" s="103">
        <v>1</v>
      </c>
      <c r="AK73" s="102" t="s">
        <v>151</v>
      </c>
      <c r="AL73" s="101" t="s">
        <v>61</v>
      </c>
      <c r="AM73" s="101" t="s">
        <v>61</v>
      </c>
      <c r="AN73" s="101" t="s">
        <v>61</v>
      </c>
    </row>
    <row r="74" spans="2:40" hidden="1" x14ac:dyDescent="0.25">
      <c r="B74" s="96">
        <f t="shared" si="21"/>
        <v>15</v>
      </c>
      <c r="C74" s="16">
        <v>20200518</v>
      </c>
      <c r="D74" s="15" t="s">
        <v>3</v>
      </c>
      <c r="E74" s="15" t="s">
        <v>219</v>
      </c>
      <c r="F74" s="95" t="s">
        <v>318</v>
      </c>
      <c r="G74" s="17">
        <v>1452946</v>
      </c>
      <c r="H74" s="52" t="s">
        <v>61</v>
      </c>
      <c r="I74" s="15" t="s">
        <v>246</v>
      </c>
      <c r="J74" s="52" t="s">
        <v>61</v>
      </c>
      <c r="K74" s="15" t="s">
        <v>147</v>
      </c>
      <c r="L74" s="15" t="s">
        <v>267</v>
      </c>
      <c r="M74" s="15" t="s">
        <v>220</v>
      </c>
      <c r="N74" s="15" t="s">
        <v>223</v>
      </c>
      <c r="O74" s="17" t="s">
        <v>61</v>
      </c>
      <c r="P74" s="17" t="s">
        <v>263</v>
      </c>
      <c r="Q74" s="18"/>
      <c r="R74" s="52" t="s">
        <v>61</v>
      </c>
      <c r="S74" s="15" t="s">
        <v>69</v>
      </c>
      <c r="T74" s="15"/>
      <c r="U74" s="15"/>
      <c r="V74" s="15">
        <v>48</v>
      </c>
      <c r="W74" s="15">
        <f t="shared" si="19"/>
        <v>48</v>
      </c>
      <c r="X74" s="15">
        <f t="shared" si="22"/>
        <v>48</v>
      </c>
      <c r="Y74" s="15">
        <f>ROUNDDOWN(W74/HLOOKUP(D74,Table!$C$3:$D$4,2,0)*8,2)</f>
        <v>0.85</v>
      </c>
      <c r="Z74" s="15">
        <v>0.5</v>
      </c>
      <c r="AA74" s="15" t="s">
        <v>21</v>
      </c>
      <c r="AB74" s="19">
        <v>43973</v>
      </c>
      <c r="AC74" s="19">
        <v>43969</v>
      </c>
      <c r="AD74" s="19">
        <v>43973</v>
      </c>
      <c r="AE74" s="19">
        <v>43970</v>
      </c>
      <c r="AF74" s="19">
        <v>43970</v>
      </c>
      <c r="AG74" s="19" t="s">
        <v>177</v>
      </c>
      <c r="AH74" s="31">
        <v>1</v>
      </c>
      <c r="AI74" s="31">
        <v>1</v>
      </c>
      <c r="AJ74" s="31">
        <v>1</v>
      </c>
      <c r="AK74" s="19" t="s">
        <v>151</v>
      </c>
      <c r="AL74" s="17" t="s">
        <v>61</v>
      </c>
      <c r="AM74" s="17" t="s">
        <v>61</v>
      </c>
      <c r="AN74" s="17" t="s">
        <v>61</v>
      </c>
    </row>
    <row r="75" spans="2:40" hidden="1" x14ac:dyDescent="0.25">
      <c r="B75" s="96">
        <f t="shared" si="21"/>
        <v>16</v>
      </c>
      <c r="C75" s="16">
        <v>20200518</v>
      </c>
      <c r="D75" s="15" t="s">
        <v>3</v>
      </c>
      <c r="E75" s="15" t="s">
        <v>219</v>
      </c>
      <c r="F75" s="95" t="s">
        <v>318</v>
      </c>
      <c r="G75" s="17">
        <v>1452946</v>
      </c>
      <c r="H75" s="52" t="s">
        <v>61</v>
      </c>
      <c r="I75" s="15" t="s">
        <v>247</v>
      </c>
      <c r="J75" s="52" t="s">
        <v>61</v>
      </c>
      <c r="K75" s="15" t="s">
        <v>147</v>
      </c>
      <c r="L75" s="15" t="s">
        <v>267</v>
      </c>
      <c r="M75" s="15" t="s">
        <v>220</v>
      </c>
      <c r="N75" s="15" t="s">
        <v>223</v>
      </c>
      <c r="O75" s="17" t="s">
        <v>61</v>
      </c>
      <c r="P75" s="17" t="s">
        <v>263</v>
      </c>
      <c r="Q75" s="18"/>
      <c r="R75" s="52" t="s">
        <v>61</v>
      </c>
      <c r="S75" s="15" t="s">
        <v>70</v>
      </c>
      <c r="T75" s="15"/>
      <c r="U75" s="15"/>
      <c r="V75" s="15">
        <v>125</v>
      </c>
      <c r="W75" s="15">
        <f t="shared" si="19"/>
        <v>125</v>
      </c>
      <c r="X75" s="15">
        <f t="shared" si="22"/>
        <v>125</v>
      </c>
      <c r="Y75" s="15">
        <f>ROUNDDOWN(W75/HLOOKUP(D75,Table!$C$3:$D$4,2,0)*8,2)</f>
        <v>2.2200000000000002</v>
      </c>
      <c r="Z75" s="15">
        <v>0.5</v>
      </c>
      <c r="AA75" s="15" t="s">
        <v>21</v>
      </c>
      <c r="AB75" s="19">
        <v>43973</v>
      </c>
      <c r="AC75" s="19">
        <v>43969</v>
      </c>
      <c r="AD75" s="19">
        <v>43973</v>
      </c>
      <c r="AE75" s="19">
        <v>43970</v>
      </c>
      <c r="AF75" s="19">
        <v>43970</v>
      </c>
      <c r="AG75" s="19" t="s">
        <v>177</v>
      </c>
      <c r="AH75" s="31">
        <v>1</v>
      </c>
      <c r="AI75" s="31">
        <v>1</v>
      </c>
      <c r="AJ75" s="31">
        <v>1</v>
      </c>
      <c r="AK75" s="19" t="s">
        <v>151</v>
      </c>
      <c r="AL75" s="17" t="s">
        <v>61</v>
      </c>
      <c r="AM75" s="17" t="s">
        <v>61</v>
      </c>
      <c r="AN75" s="17" t="s">
        <v>61</v>
      </c>
    </row>
    <row r="76" spans="2:40" hidden="1" x14ac:dyDescent="0.25">
      <c r="B76" s="96">
        <f t="shared" si="21"/>
        <v>17</v>
      </c>
      <c r="C76" s="16">
        <v>20200518</v>
      </c>
      <c r="D76" s="15" t="s">
        <v>3</v>
      </c>
      <c r="E76" s="15" t="s">
        <v>219</v>
      </c>
      <c r="F76" s="149" t="s">
        <v>318</v>
      </c>
      <c r="G76" s="110">
        <v>1452946</v>
      </c>
      <c r="H76" s="111" t="s">
        <v>61</v>
      </c>
      <c r="I76" s="109" t="s">
        <v>248</v>
      </c>
      <c r="J76" s="52" t="s">
        <v>61</v>
      </c>
      <c r="K76" s="15" t="s">
        <v>147</v>
      </c>
      <c r="L76" s="15" t="s">
        <v>267</v>
      </c>
      <c r="M76" s="15" t="s">
        <v>220</v>
      </c>
      <c r="N76" s="15" t="s">
        <v>223</v>
      </c>
      <c r="O76" s="17" t="s">
        <v>61</v>
      </c>
      <c r="P76" s="17" t="s">
        <v>263</v>
      </c>
      <c r="Q76" s="18"/>
      <c r="R76" s="52" t="s">
        <v>61</v>
      </c>
      <c r="S76" s="15" t="s">
        <v>68</v>
      </c>
      <c r="T76" s="15"/>
      <c r="U76" s="15"/>
      <c r="V76" s="15">
        <v>58</v>
      </c>
      <c r="W76" s="15">
        <f t="shared" si="19"/>
        <v>58</v>
      </c>
      <c r="X76" s="15">
        <f t="shared" si="22"/>
        <v>58</v>
      </c>
      <c r="Y76" s="15">
        <f>ROUNDDOWN(W76/HLOOKUP(D76,Table!$C$3:$D$4,2,0)*8,2)</f>
        <v>1.03</v>
      </c>
      <c r="Z76" s="15">
        <f>Y76</f>
        <v>1.03</v>
      </c>
      <c r="AA76" s="15" t="s">
        <v>21</v>
      </c>
      <c r="AB76" s="19">
        <v>43973</v>
      </c>
      <c r="AC76" s="19">
        <v>43969</v>
      </c>
      <c r="AD76" s="19">
        <v>43973</v>
      </c>
      <c r="AE76" s="19">
        <v>43971</v>
      </c>
      <c r="AF76" s="19">
        <v>43971</v>
      </c>
      <c r="AG76" s="19" t="s">
        <v>177</v>
      </c>
      <c r="AH76" s="31">
        <v>1</v>
      </c>
      <c r="AI76" s="31">
        <v>1</v>
      </c>
      <c r="AJ76" s="31">
        <v>1</v>
      </c>
      <c r="AK76" s="19" t="s">
        <v>151</v>
      </c>
      <c r="AL76" s="17" t="s">
        <v>61</v>
      </c>
      <c r="AM76" s="17" t="s">
        <v>61</v>
      </c>
      <c r="AN76" s="17" t="s">
        <v>61</v>
      </c>
    </row>
    <row r="77" spans="2:40" hidden="1" x14ac:dyDescent="0.25">
      <c r="B77" s="96">
        <f t="shared" si="21"/>
        <v>18</v>
      </c>
      <c r="C77" s="16">
        <v>20200518</v>
      </c>
      <c r="D77" s="15" t="s">
        <v>3</v>
      </c>
      <c r="E77" s="15" t="s">
        <v>219</v>
      </c>
      <c r="F77" s="95" t="s">
        <v>318</v>
      </c>
      <c r="G77" s="17">
        <v>1452946</v>
      </c>
      <c r="H77" s="52" t="s">
        <v>61</v>
      </c>
      <c r="I77" s="15" t="s">
        <v>249</v>
      </c>
      <c r="J77" s="52" t="s">
        <v>61</v>
      </c>
      <c r="K77" s="15" t="s">
        <v>147</v>
      </c>
      <c r="L77" s="15" t="s">
        <v>267</v>
      </c>
      <c r="M77" s="15" t="s">
        <v>220</v>
      </c>
      <c r="N77" s="15" t="s">
        <v>223</v>
      </c>
      <c r="O77" s="17" t="s">
        <v>61</v>
      </c>
      <c r="P77" s="17" t="s">
        <v>263</v>
      </c>
      <c r="Q77" s="18"/>
      <c r="R77" s="52" t="s">
        <v>61</v>
      </c>
      <c r="S77" s="15" t="s">
        <v>69</v>
      </c>
      <c r="T77" s="15"/>
      <c r="U77" s="15"/>
      <c r="V77" s="15">
        <v>98</v>
      </c>
      <c r="W77" s="15">
        <f t="shared" si="19"/>
        <v>98</v>
      </c>
      <c r="X77" s="15">
        <f t="shared" si="22"/>
        <v>98</v>
      </c>
      <c r="Y77" s="15">
        <f>ROUNDDOWN(W77/HLOOKUP(D77,Table!$C$3:$D$4,2,0)*8,2)</f>
        <v>1.74</v>
      </c>
      <c r="Z77" s="15">
        <v>1</v>
      </c>
      <c r="AA77" s="15" t="s">
        <v>21</v>
      </c>
      <c r="AB77" s="19">
        <v>43973</v>
      </c>
      <c r="AC77" s="19">
        <v>43969</v>
      </c>
      <c r="AD77" s="19">
        <v>43973</v>
      </c>
      <c r="AE77" s="19">
        <v>43970</v>
      </c>
      <c r="AF77" s="19">
        <v>43970</v>
      </c>
      <c r="AG77" s="19" t="s">
        <v>177</v>
      </c>
      <c r="AH77" s="31">
        <v>1</v>
      </c>
      <c r="AI77" s="31">
        <v>1</v>
      </c>
      <c r="AJ77" s="31">
        <v>1</v>
      </c>
      <c r="AK77" s="19" t="s">
        <v>151</v>
      </c>
      <c r="AL77" s="17" t="s">
        <v>61</v>
      </c>
      <c r="AM77" s="17" t="s">
        <v>61</v>
      </c>
      <c r="AN77" s="17" t="s">
        <v>61</v>
      </c>
    </row>
    <row r="78" spans="2:40" hidden="1" x14ac:dyDescent="0.25">
      <c r="B78" s="96">
        <f t="shared" si="21"/>
        <v>19</v>
      </c>
      <c r="C78" s="16">
        <v>20200518</v>
      </c>
      <c r="D78" s="15" t="s">
        <v>3</v>
      </c>
      <c r="E78" s="15" t="s">
        <v>219</v>
      </c>
      <c r="F78" s="149" t="s">
        <v>318</v>
      </c>
      <c r="G78" s="110">
        <v>1452946</v>
      </c>
      <c r="H78" s="111" t="s">
        <v>61</v>
      </c>
      <c r="I78" s="109" t="s">
        <v>250</v>
      </c>
      <c r="J78" s="52" t="s">
        <v>61</v>
      </c>
      <c r="K78" s="15" t="s">
        <v>147</v>
      </c>
      <c r="L78" s="15" t="s">
        <v>267</v>
      </c>
      <c r="M78" s="15" t="s">
        <v>220</v>
      </c>
      <c r="N78" s="15" t="s">
        <v>223</v>
      </c>
      <c r="O78" s="17" t="s">
        <v>61</v>
      </c>
      <c r="P78" s="17" t="s">
        <v>263</v>
      </c>
      <c r="Q78" s="18"/>
      <c r="R78" s="52" t="s">
        <v>61</v>
      </c>
      <c r="S78" s="15" t="s">
        <v>68</v>
      </c>
      <c r="T78" s="15"/>
      <c r="U78" s="15"/>
      <c r="V78" s="15">
        <v>58</v>
      </c>
      <c r="W78" s="15">
        <f t="shared" si="19"/>
        <v>58</v>
      </c>
      <c r="X78" s="15">
        <f t="shared" si="22"/>
        <v>58</v>
      </c>
      <c r="Y78" s="15">
        <f>ROUNDDOWN(W78/HLOOKUP(D78,Table!$C$3:$D$4,2,0)*8,2)</f>
        <v>1.03</v>
      </c>
      <c r="Z78" s="15">
        <f>Y78</f>
        <v>1.03</v>
      </c>
      <c r="AA78" s="15" t="s">
        <v>21</v>
      </c>
      <c r="AB78" s="19">
        <v>43973</v>
      </c>
      <c r="AC78" s="19">
        <v>43969</v>
      </c>
      <c r="AD78" s="19">
        <v>43973</v>
      </c>
      <c r="AE78" s="19">
        <v>43971</v>
      </c>
      <c r="AF78" s="19">
        <v>43971</v>
      </c>
      <c r="AG78" s="19" t="s">
        <v>177</v>
      </c>
      <c r="AH78" s="31">
        <v>1</v>
      </c>
      <c r="AI78" s="31">
        <v>1</v>
      </c>
      <c r="AJ78" s="31">
        <v>1</v>
      </c>
      <c r="AK78" s="19" t="s">
        <v>151</v>
      </c>
      <c r="AL78" s="17" t="s">
        <v>61</v>
      </c>
      <c r="AM78" s="17" t="s">
        <v>61</v>
      </c>
      <c r="AN78" s="17" t="s">
        <v>61</v>
      </c>
    </row>
    <row r="79" spans="2:40" hidden="1" x14ac:dyDescent="0.25">
      <c r="B79" s="96">
        <f t="shared" si="21"/>
        <v>20</v>
      </c>
      <c r="C79" s="16">
        <v>20200518</v>
      </c>
      <c r="D79" s="15" t="s">
        <v>3</v>
      </c>
      <c r="E79" s="15" t="s">
        <v>219</v>
      </c>
      <c r="F79" s="95" t="s">
        <v>318</v>
      </c>
      <c r="G79" s="17">
        <v>1452946</v>
      </c>
      <c r="H79" s="52" t="s">
        <v>61</v>
      </c>
      <c r="I79" s="15" t="s">
        <v>251</v>
      </c>
      <c r="J79" s="52" t="s">
        <v>61</v>
      </c>
      <c r="K79" s="15" t="s">
        <v>147</v>
      </c>
      <c r="L79" s="15" t="s">
        <v>267</v>
      </c>
      <c r="M79" s="15" t="s">
        <v>220</v>
      </c>
      <c r="N79" s="15" t="s">
        <v>223</v>
      </c>
      <c r="O79" s="17" t="s">
        <v>61</v>
      </c>
      <c r="P79" s="17" t="s">
        <v>263</v>
      </c>
      <c r="Q79" s="18"/>
      <c r="R79" s="52" t="s">
        <v>61</v>
      </c>
      <c r="S79" s="15" t="s">
        <v>67</v>
      </c>
      <c r="T79" s="15"/>
      <c r="U79" s="15"/>
      <c r="V79" s="15">
        <v>12</v>
      </c>
      <c r="W79" s="15">
        <f t="shared" si="19"/>
        <v>12</v>
      </c>
      <c r="X79" s="15">
        <f t="shared" ref="X79:X90" si="23">W79</f>
        <v>12</v>
      </c>
      <c r="Y79" s="15">
        <f>ROUNDDOWN(W79/HLOOKUP(D79,Table!$C$3:$D$4,2,0)*8,2)</f>
        <v>0.21</v>
      </c>
      <c r="Z79" s="15">
        <v>0.2</v>
      </c>
      <c r="AA79" s="15" t="s">
        <v>21</v>
      </c>
      <c r="AB79" s="19">
        <v>43973</v>
      </c>
      <c r="AC79" s="19">
        <v>43969</v>
      </c>
      <c r="AD79" s="19">
        <v>43973</v>
      </c>
      <c r="AE79" s="19">
        <v>43971</v>
      </c>
      <c r="AF79" s="19">
        <v>43971</v>
      </c>
      <c r="AG79" s="19" t="s">
        <v>177</v>
      </c>
      <c r="AH79" s="31">
        <v>1</v>
      </c>
      <c r="AI79" s="31">
        <v>1</v>
      </c>
      <c r="AJ79" s="31">
        <v>1</v>
      </c>
      <c r="AK79" s="19" t="s">
        <v>151</v>
      </c>
      <c r="AL79" s="17" t="s">
        <v>61</v>
      </c>
      <c r="AM79" s="17" t="s">
        <v>61</v>
      </c>
      <c r="AN79" s="17" t="s">
        <v>61</v>
      </c>
    </row>
    <row r="80" spans="2:40" hidden="1" x14ac:dyDescent="0.25">
      <c r="B80" s="96">
        <f t="shared" si="21"/>
        <v>21</v>
      </c>
      <c r="C80" s="16">
        <v>20200518</v>
      </c>
      <c r="D80" s="15" t="s">
        <v>3</v>
      </c>
      <c r="E80" s="15" t="s">
        <v>219</v>
      </c>
      <c r="F80" s="149" t="s">
        <v>318</v>
      </c>
      <c r="G80" s="110">
        <v>1452946</v>
      </c>
      <c r="H80" s="111" t="s">
        <v>61</v>
      </c>
      <c r="I80" s="109" t="s">
        <v>252</v>
      </c>
      <c r="J80" s="52" t="s">
        <v>61</v>
      </c>
      <c r="K80" s="15" t="s">
        <v>147</v>
      </c>
      <c r="L80" s="15" t="s">
        <v>267</v>
      </c>
      <c r="M80" s="15" t="s">
        <v>220</v>
      </c>
      <c r="N80" s="15" t="s">
        <v>223</v>
      </c>
      <c r="O80" s="17" t="s">
        <v>61</v>
      </c>
      <c r="P80" s="17" t="s">
        <v>263</v>
      </c>
      <c r="Q80" s="18"/>
      <c r="R80" s="52" t="s">
        <v>61</v>
      </c>
      <c r="S80" s="15" t="s">
        <v>68</v>
      </c>
      <c r="T80" s="15"/>
      <c r="U80" s="15"/>
      <c r="V80" s="15">
        <v>73</v>
      </c>
      <c r="W80" s="15">
        <f t="shared" si="19"/>
        <v>73</v>
      </c>
      <c r="X80" s="15">
        <f t="shared" si="23"/>
        <v>73</v>
      </c>
      <c r="Y80" s="15">
        <f>ROUNDDOWN(W80/HLOOKUP(D80,Table!$C$3:$D$4,2,0)*8,2)</f>
        <v>1.29</v>
      </c>
      <c r="Z80" s="15">
        <f>Y80</f>
        <v>1.29</v>
      </c>
      <c r="AA80" s="15" t="s">
        <v>21</v>
      </c>
      <c r="AB80" s="19">
        <v>43973</v>
      </c>
      <c r="AC80" s="19">
        <v>43969</v>
      </c>
      <c r="AD80" s="19">
        <v>43973</v>
      </c>
      <c r="AE80" s="19">
        <v>43971</v>
      </c>
      <c r="AF80" s="19">
        <v>43971</v>
      </c>
      <c r="AG80" s="19" t="s">
        <v>177</v>
      </c>
      <c r="AH80" s="31">
        <v>1</v>
      </c>
      <c r="AI80" s="31">
        <v>1</v>
      </c>
      <c r="AJ80" s="31">
        <v>1</v>
      </c>
      <c r="AK80" s="19" t="s">
        <v>151</v>
      </c>
      <c r="AL80" s="17" t="s">
        <v>61</v>
      </c>
      <c r="AM80" s="17" t="s">
        <v>61</v>
      </c>
      <c r="AN80" s="17" t="s">
        <v>61</v>
      </c>
    </row>
    <row r="81" spans="2:40" s="104" customFormat="1" hidden="1" x14ac:dyDescent="0.25">
      <c r="B81" s="96">
        <f t="shared" si="21"/>
        <v>22</v>
      </c>
      <c r="C81" s="16">
        <v>20200518</v>
      </c>
      <c r="D81" s="16" t="s">
        <v>3</v>
      </c>
      <c r="E81" s="16" t="s">
        <v>219</v>
      </c>
      <c r="F81" s="100" t="s">
        <v>318</v>
      </c>
      <c r="G81" s="101">
        <v>1452946</v>
      </c>
      <c r="H81" s="52" t="s">
        <v>61</v>
      </c>
      <c r="I81" s="16" t="s">
        <v>253</v>
      </c>
      <c r="J81" s="52" t="s">
        <v>61</v>
      </c>
      <c r="K81" s="16" t="s">
        <v>147</v>
      </c>
      <c r="L81" s="16" t="s">
        <v>267</v>
      </c>
      <c r="M81" s="16" t="s">
        <v>220</v>
      </c>
      <c r="N81" s="16" t="s">
        <v>223</v>
      </c>
      <c r="O81" s="101" t="s">
        <v>61</v>
      </c>
      <c r="P81" s="101" t="s">
        <v>263</v>
      </c>
      <c r="Q81" s="18"/>
      <c r="R81" s="52" t="s">
        <v>61</v>
      </c>
      <c r="S81" s="16" t="s">
        <v>69</v>
      </c>
      <c r="T81" s="16"/>
      <c r="U81" s="16"/>
      <c r="V81" s="16">
        <v>72</v>
      </c>
      <c r="W81" s="16">
        <f t="shared" si="19"/>
        <v>72</v>
      </c>
      <c r="X81" s="16">
        <f t="shared" si="23"/>
        <v>72</v>
      </c>
      <c r="Y81" s="16">
        <f>ROUNDDOWN(W81/HLOOKUP(D81,Table!$C$3:$D$4,2,0)*8,2)</f>
        <v>1.28</v>
      </c>
      <c r="Z81" s="16">
        <v>0.5</v>
      </c>
      <c r="AA81" s="15" t="s">
        <v>21</v>
      </c>
      <c r="AB81" s="19">
        <v>43973</v>
      </c>
      <c r="AC81" s="102">
        <v>43969</v>
      </c>
      <c r="AD81" s="102">
        <v>43973</v>
      </c>
      <c r="AE81" s="102">
        <v>43970</v>
      </c>
      <c r="AF81" s="102">
        <v>43970</v>
      </c>
      <c r="AG81" s="102" t="s">
        <v>177</v>
      </c>
      <c r="AH81" s="103">
        <v>1</v>
      </c>
      <c r="AI81" s="103">
        <v>1</v>
      </c>
      <c r="AJ81" s="103">
        <v>1</v>
      </c>
      <c r="AK81" s="102" t="s">
        <v>151</v>
      </c>
      <c r="AL81" s="101" t="s">
        <v>61</v>
      </c>
      <c r="AM81" s="101" t="s">
        <v>61</v>
      </c>
      <c r="AN81" s="101" t="s">
        <v>61</v>
      </c>
    </row>
    <row r="82" spans="2:40" hidden="1" x14ac:dyDescent="0.25">
      <c r="B82" s="96">
        <f t="shared" si="21"/>
        <v>23</v>
      </c>
      <c r="C82" s="16">
        <v>20200518</v>
      </c>
      <c r="D82" s="15" t="s">
        <v>3</v>
      </c>
      <c r="E82" s="15" t="s">
        <v>219</v>
      </c>
      <c r="F82" s="149" t="s">
        <v>318</v>
      </c>
      <c r="G82" s="110">
        <v>1452946</v>
      </c>
      <c r="H82" s="111" t="s">
        <v>61</v>
      </c>
      <c r="I82" s="109" t="s">
        <v>254</v>
      </c>
      <c r="J82" s="52" t="s">
        <v>61</v>
      </c>
      <c r="K82" s="15" t="s">
        <v>147</v>
      </c>
      <c r="L82" s="15" t="s">
        <v>267</v>
      </c>
      <c r="M82" s="15" t="s">
        <v>220</v>
      </c>
      <c r="N82" s="15" t="s">
        <v>223</v>
      </c>
      <c r="O82" s="17" t="s">
        <v>61</v>
      </c>
      <c r="P82" s="17" t="s">
        <v>263</v>
      </c>
      <c r="Q82" s="18"/>
      <c r="R82" s="52" t="s">
        <v>61</v>
      </c>
      <c r="S82" s="15" t="s">
        <v>68</v>
      </c>
      <c r="T82" s="15"/>
      <c r="U82" s="15"/>
      <c r="V82" s="15">
        <v>14</v>
      </c>
      <c r="W82" s="15">
        <f t="shared" si="19"/>
        <v>14</v>
      </c>
      <c r="X82" s="15">
        <f t="shared" si="23"/>
        <v>14</v>
      </c>
      <c r="Y82" s="15">
        <f>ROUNDDOWN(W82/HLOOKUP(D82,Table!$C$3:$D$4,2,0)*8,2)</f>
        <v>0.24</v>
      </c>
      <c r="Z82" s="15">
        <f>Y82</f>
        <v>0.24</v>
      </c>
      <c r="AA82" s="15" t="s">
        <v>21</v>
      </c>
      <c r="AB82" s="19">
        <v>43973</v>
      </c>
      <c r="AC82" s="19">
        <v>43969</v>
      </c>
      <c r="AD82" s="19">
        <v>43973</v>
      </c>
      <c r="AE82" s="19">
        <v>43971</v>
      </c>
      <c r="AF82" s="19">
        <v>43971</v>
      </c>
      <c r="AG82" s="19" t="s">
        <v>177</v>
      </c>
      <c r="AH82" s="31">
        <v>1</v>
      </c>
      <c r="AI82" s="31">
        <v>1</v>
      </c>
      <c r="AJ82" s="31">
        <v>1</v>
      </c>
      <c r="AK82" s="19" t="s">
        <v>151</v>
      </c>
      <c r="AL82" s="17" t="s">
        <v>61</v>
      </c>
      <c r="AM82" s="17" t="s">
        <v>61</v>
      </c>
      <c r="AN82" s="17" t="s">
        <v>61</v>
      </c>
    </row>
    <row r="83" spans="2:40" hidden="1" x14ac:dyDescent="0.25">
      <c r="B83" s="96">
        <f t="shared" si="21"/>
        <v>24</v>
      </c>
      <c r="C83" s="16">
        <v>20200518</v>
      </c>
      <c r="D83" s="15" t="s">
        <v>3</v>
      </c>
      <c r="E83" s="15" t="s">
        <v>219</v>
      </c>
      <c r="F83" s="95" t="s">
        <v>319</v>
      </c>
      <c r="G83" s="17">
        <v>1472741</v>
      </c>
      <c r="H83" s="52" t="s">
        <v>61</v>
      </c>
      <c r="I83" s="15" t="s">
        <v>255</v>
      </c>
      <c r="J83" s="52" t="s">
        <v>61</v>
      </c>
      <c r="K83" s="15" t="s">
        <v>147</v>
      </c>
      <c r="L83" s="15" t="s">
        <v>151</v>
      </c>
      <c r="M83" s="15" t="s">
        <v>220</v>
      </c>
      <c r="N83" s="15" t="s">
        <v>223</v>
      </c>
      <c r="O83" s="17" t="s">
        <v>61</v>
      </c>
      <c r="P83" s="17" t="s">
        <v>264</v>
      </c>
      <c r="Q83" s="18"/>
      <c r="R83" s="52" t="s">
        <v>61</v>
      </c>
      <c r="S83" s="15" t="s">
        <v>67</v>
      </c>
      <c r="T83" s="15"/>
      <c r="U83" s="15"/>
      <c r="V83" s="15">
        <v>3</v>
      </c>
      <c r="W83" s="85">
        <v>355</v>
      </c>
      <c r="X83" s="15">
        <f t="shared" si="23"/>
        <v>355</v>
      </c>
      <c r="Y83" s="15">
        <f>ROUNDDOWN(W83/HLOOKUP(D83,Table!$C$3:$D$4,2,0)*8,2)</f>
        <v>6.31</v>
      </c>
      <c r="Z83" s="15">
        <v>4</v>
      </c>
      <c r="AA83" s="15" t="s">
        <v>21</v>
      </c>
      <c r="AB83" s="19">
        <v>43973</v>
      </c>
      <c r="AC83" s="19">
        <v>43969</v>
      </c>
      <c r="AD83" s="19">
        <v>43973</v>
      </c>
      <c r="AE83" s="19">
        <v>43971</v>
      </c>
      <c r="AF83" s="19">
        <v>43971</v>
      </c>
      <c r="AG83" s="19" t="s">
        <v>177</v>
      </c>
      <c r="AH83" s="31">
        <v>1</v>
      </c>
      <c r="AI83" s="31">
        <v>1</v>
      </c>
      <c r="AJ83" s="31">
        <v>1</v>
      </c>
      <c r="AK83" s="19" t="s">
        <v>151</v>
      </c>
      <c r="AL83" s="17" t="s">
        <v>61</v>
      </c>
      <c r="AM83" s="17" t="s">
        <v>61</v>
      </c>
      <c r="AN83" s="17" t="s">
        <v>61</v>
      </c>
    </row>
    <row r="84" spans="2:40" hidden="1" x14ac:dyDescent="0.25">
      <c r="B84" s="96">
        <f t="shared" si="21"/>
        <v>25</v>
      </c>
      <c r="C84" s="16">
        <v>20200518</v>
      </c>
      <c r="D84" s="15" t="s">
        <v>3</v>
      </c>
      <c r="E84" s="15" t="s">
        <v>219</v>
      </c>
      <c r="F84" s="95" t="s">
        <v>320</v>
      </c>
      <c r="G84" s="17">
        <v>1472757</v>
      </c>
      <c r="H84" s="52" t="s">
        <v>61</v>
      </c>
      <c r="I84" s="15" t="s">
        <v>160</v>
      </c>
      <c r="J84" s="52" t="s">
        <v>61</v>
      </c>
      <c r="K84" s="15" t="s">
        <v>147</v>
      </c>
      <c r="L84" s="15" t="s">
        <v>151</v>
      </c>
      <c r="M84" s="15" t="s">
        <v>220</v>
      </c>
      <c r="N84" s="15" t="s">
        <v>223</v>
      </c>
      <c r="O84" s="17" t="s">
        <v>61</v>
      </c>
      <c r="P84" s="17" t="s">
        <v>265</v>
      </c>
      <c r="Q84" s="18"/>
      <c r="R84" s="52" t="s">
        <v>61</v>
      </c>
      <c r="S84" s="15" t="s">
        <v>67</v>
      </c>
      <c r="T84" s="15"/>
      <c r="U84" s="15"/>
      <c r="V84" s="15">
        <v>3</v>
      </c>
      <c r="W84" s="85">
        <v>92</v>
      </c>
      <c r="X84" s="15">
        <f t="shared" si="23"/>
        <v>92</v>
      </c>
      <c r="Y84" s="15">
        <f>ROUNDDOWN(W84/HLOOKUP(D84,Table!$C$3:$D$4,2,0)*8,2)</f>
        <v>1.63</v>
      </c>
      <c r="Z84" s="15">
        <v>2</v>
      </c>
      <c r="AA84" s="15" t="s">
        <v>21</v>
      </c>
      <c r="AB84" s="19">
        <v>43973</v>
      </c>
      <c r="AC84" s="19">
        <v>43969</v>
      </c>
      <c r="AD84" s="19">
        <v>43973</v>
      </c>
      <c r="AE84" s="19">
        <v>43972</v>
      </c>
      <c r="AF84" s="19">
        <v>43972</v>
      </c>
      <c r="AG84" s="19" t="s">
        <v>177</v>
      </c>
      <c r="AH84" s="31">
        <v>1</v>
      </c>
      <c r="AI84" s="31">
        <v>1</v>
      </c>
      <c r="AJ84" s="31">
        <v>1</v>
      </c>
      <c r="AK84" s="19" t="s">
        <v>151</v>
      </c>
      <c r="AL84" s="17" t="s">
        <v>61</v>
      </c>
      <c r="AM84" s="17" t="s">
        <v>61</v>
      </c>
      <c r="AN84" s="17" t="s">
        <v>61</v>
      </c>
    </row>
    <row r="85" spans="2:40" hidden="1" x14ac:dyDescent="0.25">
      <c r="B85" s="96">
        <f t="shared" si="21"/>
        <v>26</v>
      </c>
      <c r="C85" s="16">
        <v>20200518</v>
      </c>
      <c r="D85" s="15" t="s">
        <v>3</v>
      </c>
      <c r="E85" s="15" t="s">
        <v>219</v>
      </c>
      <c r="F85" s="74" t="s">
        <v>320</v>
      </c>
      <c r="G85" s="17">
        <v>1472757</v>
      </c>
      <c r="H85" s="52" t="s">
        <v>61</v>
      </c>
      <c r="I85" s="15" t="s">
        <v>256</v>
      </c>
      <c r="J85" s="52" t="s">
        <v>61</v>
      </c>
      <c r="K85" s="15" t="s">
        <v>147</v>
      </c>
      <c r="L85" s="15" t="s">
        <v>151</v>
      </c>
      <c r="M85" s="15" t="s">
        <v>220</v>
      </c>
      <c r="N85" s="15" t="s">
        <v>223</v>
      </c>
      <c r="O85" s="17" t="s">
        <v>61</v>
      </c>
      <c r="P85" s="17" t="s">
        <v>265</v>
      </c>
      <c r="Q85" s="18"/>
      <c r="R85" s="52" t="s">
        <v>61</v>
      </c>
      <c r="S85" s="15" t="s">
        <v>67</v>
      </c>
      <c r="T85" s="15"/>
      <c r="U85" s="15"/>
      <c r="V85" s="15">
        <v>3</v>
      </c>
      <c r="W85" s="15">
        <f t="shared" si="19"/>
        <v>3</v>
      </c>
      <c r="X85" s="15">
        <f t="shared" si="23"/>
        <v>3</v>
      </c>
      <c r="Y85" s="15">
        <f>ROUNDDOWN(W85/HLOOKUP(D85,Table!$C$3:$D$4,2,0)*8,2)</f>
        <v>0.05</v>
      </c>
      <c r="Z85" s="15">
        <f>Y85</f>
        <v>0.05</v>
      </c>
      <c r="AA85" s="15" t="s">
        <v>21</v>
      </c>
      <c r="AB85" s="19">
        <v>43973</v>
      </c>
      <c r="AC85" s="19">
        <v>43969</v>
      </c>
      <c r="AD85" s="19">
        <v>43973</v>
      </c>
      <c r="AE85" s="19">
        <v>43972</v>
      </c>
      <c r="AF85" s="19">
        <v>43972</v>
      </c>
      <c r="AG85" s="19" t="s">
        <v>177</v>
      </c>
      <c r="AH85" s="80" t="s">
        <v>61</v>
      </c>
      <c r="AI85" s="80" t="s">
        <v>61</v>
      </c>
      <c r="AJ85" s="80" t="s">
        <v>61</v>
      </c>
      <c r="AK85" s="19" t="s">
        <v>151</v>
      </c>
      <c r="AL85" s="17" t="s">
        <v>61</v>
      </c>
      <c r="AM85" s="17" t="s">
        <v>61</v>
      </c>
      <c r="AN85" s="53" t="s">
        <v>195</v>
      </c>
    </row>
    <row r="86" spans="2:40" hidden="1" x14ac:dyDescent="0.25">
      <c r="B86" s="96">
        <f t="shared" si="21"/>
        <v>27</v>
      </c>
      <c r="C86" s="16">
        <v>20200518</v>
      </c>
      <c r="D86" s="15" t="s">
        <v>3</v>
      </c>
      <c r="E86" s="15" t="s">
        <v>219</v>
      </c>
      <c r="F86" s="74" t="s">
        <v>320</v>
      </c>
      <c r="G86" s="17">
        <v>1472757</v>
      </c>
      <c r="H86" s="52" t="s">
        <v>61</v>
      </c>
      <c r="I86" s="15" t="s">
        <v>154</v>
      </c>
      <c r="J86" s="52" t="s">
        <v>61</v>
      </c>
      <c r="K86" s="15" t="s">
        <v>147</v>
      </c>
      <c r="L86" s="15" t="s">
        <v>151</v>
      </c>
      <c r="M86" s="15" t="s">
        <v>220</v>
      </c>
      <c r="N86" s="15" t="s">
        <v>223</v>
      </c>
      <c r="O86" s="17" t="s">
        <v>61</v>
      </c>
      <c r="P86" s="17" t="s">
        <v>265</v>
      </c>
      <c r="Q86" s="18"/>
      <c r="R86" s="52" t="s">
        <v>61</v>
      </c>
      <c r="S86" s="15" t="s">
        <v>67</v>
      </c>
      <c r="T86" s="15"/>
      <c r="U86" s="15"/>
      <c r="V86" s="15">
        <v>3</v>
      </c>
      <c r="W86" s="85">
        <v>95</v>
      </c>
      <c r="X86" s="15">
        <f t="shared" si="23"/>
        <v>95</v>
      </c>
      <c r="Y86" s="15">
        <f>ROUNDDOWN(W86/HLOOKUP(D86,Table!$C$3:$D$4,2,0)*8,2)</f>
        <v>1.68</v>
      </c>
      <c r="Z86" s="15">
        <v>1</v>
      </c>
      <c r="AA86" s="15" t="s">
        <v>21</v>
      </c>
      <c r="AB86" s="19">
        <v>43973</v>
      </c>
      <c r="AC86" s="19">
        <v>43969</v>
      </c>
      <c r="AD86" s="19">
        <v>43973</v>
      </c>
      <c r="AE86" s="19">
        <v>43972</v>
      </c>
      <c r="AF86" s="19">
        <v>43972</v>
      </c>
      <c r="AG86" s="19" t="s">
        <v>178</v>
      </c>
      <c r="AH86" s="31">
        <v>1</v>
      </c>
      <c r="AI86" s="31">
        <v>0.87</v>
      </c>
      <c r="AJ86" s="31">
        <v>1</v>
      </c>
      <c r="AK86" s="19" t="s">
        <v>140</v>
      </c>
      <c r="AL86" s="17" t="s">
        <v>399</v>
      </c>
      <c r="AM86" s="17" t="s">
        <v>61</v>
      </c>
      <c r="AN86" s="17" t="s">
        <v>61</v>
      </c>
    </row>
    <row r="87" spans="2:40" hidden="1" x14ac:dyDescent="0.25">
      <c r="B87" s="96">
        <f t="shared" si="21"/>
        <v>28</v>
      </c>
      <c r="C87" s="16">
        <v>20200518</v>
      </c>
      <c r="D87" s="15" t="s">
        <v>3</v>
      </c>
      <c r="E87" s="15" t="s">
        <v>219</v>
      </c>
      <c r="F87" s="95" t="s">
        <v>321</v>
      </c>
      <c r="G87" s="17">
        <v>1472757</v>
      </c>
      <c r="H87" s="52" t="s">
        <v>61</v>
      </c>
      <c r="I87" s="15" t="s">
        <v>226</v>
      </c>
      <c r="J87" s="52" t="s">
        <v>61</v>
      </c>
      <c r="K87" s="15" t="s">
        <v>147</v>
      </c>
      <c r="L87" s="15" t="s">
        <v>151</v>
      </c>
      <c r="M87" s="15" t="s">
        <v>220</v>
      </c>
      <c r="N87" s="15" t="s">
        <v>223</v>
      </c>
      <c r="O87" s="17" t="s">
        <v>61</v>
      </c>
      <c r="P87" s="17" t="s">
        <v>265</v>
      </c>
      <c r="Q87" s="18"/>
      <c r="R87" s="52" t="s">
        <v>61</v>
      </c>
      <c r="S87" s="15" t="s">
        <v>67</v>
      </c>
      <c r="T87" s="15"/>
      <c r="U87" s="15"/>
      <c r="V87" s="15">
        <v>3</v>
      </c>
      <c r="W87" s="85">
        <f>157</f>
        <v>157</v>
      </c>
      <c r="X87" s="15">
        <f t="shared" si="23"/>
        <v>157</v>
      </c>
      <c r="Y87" s="15">
        <f>ROUNDDOWN(W87/HLOOKUP(D87,Table!$C$3:$D$4,2,0)*8,2)</f>
        <v>2.79</v>
      </c>
      <c r="Z87" s="15">
        <v>2</v>
      </c>
      <c r="AA87" s="15" t="s">
        <v>21</v>
      </c>
      <c r="AB87" s="19">
        <v>43973</v>
      </c>
      <c r="AC87" s="19">
        <v>43969</v>
      </c>
      <c r="AD87" s="19">
        <v>43973</v>
      </c>
      <c r="AE87" s="19">
        <v>43972</v>
      </c>
      <c r="AF87" s="19">
        <v>43972</v>
      </c>
      <c r="AG87" s="19" t="s">
        <v>177</v>
      </c>
      <c r="AH87" s="31">
        <v>1</v>
      </c>
      <c r="AI87" s="31">
        <v>1</v>
      </c>
      <c r="AJ87" s="31">
        <v>1</v>
      </c>
      <c r="AK87" s="19" t="s">
        <v>151</v>
      </c>
      <c r="AL87" s="17" t="s">
        <v>61</v>
      </c>
      <c r="AM87" s="17" t="s">
        <v>61</v>
      </c>
      <c r="AN87" s="17" t="s">
        <v>61</v>
      </c>
    </row>
    <row r="88" spans="2:40" hidden="1" x14ac:dyDescent="0.25">
      <c r="B88" s="96">
        <f t="shared" si="21"/>
        <v>29</v>
      </c>
      <c r="C88" s="16">
        <v>20200518</v>
      </c>
      <c r="D88" s="15" t="s">
        <v>3</v>
      </c>
      <c r="E88" s="15" t="s">
        <v>219</v>
      </c>
      <c r="F88" s="74" t="s">
        <v>322</v>
      </c>
      <c r="G88" s="17">
        <v>1472757</v>
      </c>
      <c r="H88" s="52" t="s">
        <v>61</v>
      </c>
      <c r="I88" s="15" t="s">
        <v>257</v>
      </c>
      <c r="J88" s="52" t="s">
        <v>61</v>
      </c>
      <c r="K88" s="15" t="s">
        <v>147</v>
      </c>
      <c r="L88" s="15" t="s">
        <v>151</v>
      </c>
      <c r="M88" s="15" t="s">
        <v>220</v>
      </c>
      <c r="N88" s="15" t="s">
        <v>223</v>
      </c>
      <c r="O88" s="17" t="s">
        <v>61</v>
      </c>
      <c r="P88" s="17" t="s">
        <v>265</v>
      </c>
      <c r="Q88" s="18"/>
      <c r="R88" s="52" t="s">
        <v>61</v>
      </c>
      <c r="S88" s="15" t="s">
        <v>67</v>
      </c>
      <c r="T88" s="15"/>
      <c r="U88" s="15"/>
      <c r="V88" s="15">
        <v>3</v>
      </c>
      <c r="W88" s="85">
        <f>165</f>
        <v>165</v>
      </c>
      <c r="X88" s="15">
        <f t="shared" si="23"/>
        <v>165</v>
      </c>
      <c r="Y88" s="15">
        <f>ROUNDDOWN(W88/HLOOKUP(D88,Table!$C$3:$D$4,2,0)*8,2)</f>
        <v>2.93</v>
      </c>
      <c r="Z88" s="15">
        <v>2</v>
      </c>
      <c r="AA88" s="15" t="s">
        <v>21</v>
      </c>
      <c r="AB88" s="19">
        <v>43973</v>
      </c>
      <c r="AC88" s="19">
        <v>43969</v>
      </c>
      <c r="AD88" s="19">
        <v>43973</v>
      </c>
      <c r="AE88" s="19">
        <v>43972</v>
      </c>
      <c r="AF88" s="19">
        <v>43972</v>
      </c>
      <c r="AG88" s="19" t="s">
        <v>177</v>
      </c>
      <c r="AH88" s="31">
        <v>1</v>
      </c>
      <c r="AI88" s="31">
        <v>1</v>
      </c>
      <c r="AJ88" s="31">
        <v>1</v>
      </c>
      <c r="AK88" s="19" t="s">
        <v>151</v>
      </c>
      <c r="AL88" s="17" t="s">
        <v>61</v>
      </c>
      <c r="AM88" s="17" t="s">
        <v>61</v>
      </c>
      <c r="AN88" s="17" t="s">
        <v>61</v>
      </c>
    </row>
    <row r="89" spans="2:40" hidden="1" x14ac:dyDescent="0.25">
      <c r="B89" s="96">
        <f t="shared" si="21"/>
        <v>30</v>
      </c>
      <c r="C89" s="16">
        <v>20200518</v>
      </c>
      <c r="D89" s="15" t="s">
        <v>3</v>
      </c>
      <c r="E89" s="15" t="s">
        <v>219</v>
      </c>
      <c r="F89" s="95" t="s">
        <v>323</v>
      </c>
      <c r="G89" s="17">
        <v>1472757</v>
      </c>
      <c r="H89" s="52" t="s">
        <v>61</v>
      </c>
      <c r="I89" s="15" t="s">
        <v>258</v>
      </c>
      <c r="J89" s="52" t="s">
        <v>61</v>
      </c>
      <c r="K89" s="15" t="s">
        <v>147</v>
      </c>
      <c r="L89" s="15" t="s">
        <v>151</v>
      </c>
      <c r="M89" s="15" t="s">
        <v>220</v>
      </c>
      <c r="N89" s="15" t="s">
        <v>223</v>
      </c>
      <c r="O89" s="17" t="s">
        <v>61</v>
      </c>
      <c r="P89" s="17" t="s">
        <v>265</v>
      </c>
      <c r="Q89" s="18"/>
      <c r="R89" s="52" t="s">
        <v>61</v>
      </c>
      <c r="S89" s="15" t="s">
        <v>67</v>
      </c>
      <c r="T89" s="15"/>
      <c r="U89" s="15"/>
      <c r="V89" s="15">
        <v>3</v>
      </c>
      <c r="W89" s="85">
        <f>63</f>
        <v>63</v>
      </c>
      <c r="X89" s="15">
        <f t="shared" si="23"/>
        <v>63</v>
      </c>
      <c r="Y89" s="15">
        <f>ROUNDDOWN(W89/HLOOKUP(D89,Table!$C$3:$D$4,2,0)*8,2)</f>
        <v>1.1200000000000001</v>
      </c>
      <c r="Z89" s="15">
        <v>1</v>
      </c>
      <c r="AA89" s="15" t="s">
        <v>21</v>
      </c>
      <c r="AB89" s="19">
        <v>43973</v>
      </c>
      <c r="AC89" s="19">
        <v>43969</v>
      </c>
      <c r="AD89" s="19">
        <v>43973</v>
      </c>
      <c r="AE89" s="19">
        <v>43972</v>
      </c>
      <c r="AF89" s="19">
        <v>43972</v>
      </c>
      <c r="AG89" s="19" t="s">
        <v>177</v>
      </c>
      <c r="AH89" s="31">
        <v>1</v>
      </c>
      <c r="AI89" s="31">
        <v>1</v>
      </c>
      <c r="AJ89" s="31">
        <v>1</v>
      </c>
      <c r="AK89" s="19" t="s">
        <v>151</v>
      </c>
      <c r="AL89" s="17" t="s">
        <v>61</v>
      </c>
      <c r="AM89" s="17" t="s">
        <v>61</v>
      </c>
      <c r="AN89" s="17" t="s">
        <v>61</v>
      </c>
    </row>
    <row r="90" spans="2:40" hidden="1" x14ac:dyDescent="0.25">
      <c r="B90" s="96">
        <f t="shared" si="21"/>
        <v>31</v>
      </c>
      <c r="C90" s="16">
        <v>20200518</v>
      </c>
      <c r="D90" s="15" t="s">
        <v>3</v>
      </c>
      <c r="E90" s="15" t="s">
        <v>219</v>
      </c>
      <c r="F90" s="95" t="s">
        <v>324</v>
      </c>
      <c r="G90" s="17">
        <v>1472757</v>
      </c>
      <c r="H90" s="52" t="s">
        <v>61</v>
      </c>
      <c r="I90" s="15" t="s">
        <v>184</v>
      </c>
      <c r="J90" s="52" t="s">
        <v>61</v>
      </c>
      <c r="K90" s="15" t="s">
        <v>147</v>
      </c>
      <c r="L90" s="15" t="s">
        <v>151</v>
      </c>
      <c r="M90" s="15" t="s">
        <v>220</v>
      </c>
      <c r="N90" s="15" t="s">
        <v>223</v>
      </c>
      <c r="O90" s="17" t="s">
        <v>61</v>
      </c>
      <c r="P90" s="17" t="s">
        <v>265</v>
      </c>
      <c r="Q90" s="18"/>
      <c r="R90" s="52" t="s">
        <v>61</v>
      </c>
      <c r="S90" s="15" t="s">
        <v>67</v>
      </c>
      <c r="T90" s="15"/>
      <c r="U90" s="15"/>
      <c r="V90" s="15">
        <v>5</v>
      </c>
      <c r="W90" s="85">
        <f>167</f>
        <v>167</v>
      </c>
      <c r="X90" s="15">
        <f t="shared" si="23"/>
        <v>167</v>
      </c>
      <c r="Y90" s="15">
        <f>ROUNDDOWN(W90/HLOOKUP(D90,Table!$C$3:$D$4,2,0)*8,2)</f>
        <v>2.96</v>
      </c>
      <c r="Z90" s="15">
        <v>2</v>
      </c>
      <c r="AA90" s="15" t="s">
        <v>21</v>
      </c>
      <c r="AB90" s="19">
        <v>43973</v>
      </c>
      <c r="AC90" s="19">
        <v>43969</v>
      </c>
      <c r="AD90" s="19">
        <v>43973</v>
      </c>
      <c r="AE90" s="19">
        <v>43972</v>
      </c>
      <c r="AF90" s="19">
        <v>43972</v>
      </c>
      <c r="AG90" s="19" t="s">
        <v>177</v>
      </c>
      <c r="AH90" s="31">
        <v>1</v>
      </c>
      <c r="AI90" s="31">
        <v>1</v>
      </c>
      <c r="AJ90" s="31">
        <v>1</v>
      </c>
      <c r="AK90" s="19" t="s">
        <v>151</v>
      </c>
      <c r="AL90" s="17" t="s">
        <v>61</v>
      </c>
      <c r="AM90" s="17" t="s">
        <v>61</v>
      </c>
      <c r="AN90" s="17" t="s">
        <v>61</v>
      </c>
    </row>
    <row r="91" spans="2:40" hidden="1" x14ac:dyDescent="0.25">
      <c r="B91" s="96">
        <f t="shared" si="21"/>
        <v>32</v>
      </c>
      <c r="C91" s="16">
        <v>20200518</v>
      </c>
      <c r="D91" s="15" t="s">
        <v>3</v>
      </c>
      <c r="E91" s="15" t="s">
        <v>219</v>
      </c>
      <c r="F91" s="95" t="s">
        <v>325</v>
      </c>
      <c r="G91" s="17">
        <v>1369873</v>
      </c>
      <c r="H91" s="52" t="s">
        <v>61</v>
      </c>
      <c r="I91" s="15" t="s">
        <v>217</v>
      </c>
      <c r="J91" s="52" t="s">
        <v>61</v>
      </c>
      <c r="K91" s="15" t="s">
        <v>147</v>
      </c>
      <c r="L91" s="15" t="s">
        <v>304</v>
      </c>
      <c r="M91" s="15" t="s">
        <v>220</v>
      </c>
      <c r="N91" s="15" t="s">
        <v>223</v>
      </c>
      <c r="O91" s="17" t="s">
        <v>61</v>
      </c>
      <c r="P91" s="17" t="s">
        <v>266</v>
      </c>
      <c r="Q91" s="18"/>
      <c r="R91" s="52" t="s">
        <v>61</v>
      </c>
      <c r="S91" s="15" t="s">
        <v>67</v>
      </c>
      <c r="T91" s="15"/>
      <c r="U91" s="15"/>
      <c r="V91" s="15">
        <v>259</v>
      </c>
      <c r="W91" s="15">
        <f t="shared" si="19"/>
        <v>259</v>
      </c>
      <c r="X91" s="15">
        <f t="shared" ref="X91:X96" si="24">W91</f>
        <v>259</v>
      </c>
      <c r="Y91" s="15">
        <f>ROUNDDOWN(W91/HLOOKUP(D91,Table!$C$3:$D$4,2,0)*8,2)</f>
        <v>4.5999999999999996</v>
      </c>
      <c r="Z91" s="15">
        <v>2</v>
      </c>
      <c r="AA91" s="15" t="s">
        <v>21</v>
      </c>
      <c r="AB91" s="19">
        <v>43973</v>
      </c>
      <c r="AC91" s="19">
        <v>43969</v>
      </c>
      <c r="AD91" s="19">
        <v>43973</v>
      </c>
      <c r="AE91" s="19">
        <v>43972</v>
      </c>
      <c r="AF91" s="19">
        <v>43972</v>
      </c>
      <c r="AG91" s="19" t="s">
        <v>178</v>
      </c>
      <c r="AH91" s="31">
        <v>1</v>
      </c>
      <c r="AI91" s="31">
        <v>1</v>
      </c>
      <c r="AJ91" s="31">
        <v>0.87</v>
      </c>
      <c r="AK91" s="19" t="s">
        <v>140</v>
      </c>
      <c r="AL91" s="17" t="s">
        <v>416</v>
      </c>
      <c r="AM91" s="17" t="s">
        <v>61</v>
      </c>
      <c r="AN91" s="17" t="s">
        <v>313</v>
      </c>
    </row>
    <row r="92" spans="2:40" hidden="1" x14ac:dyDescent="0.25">
      <c r="B92" s="96">
        <f t="shared" si="21"/>
        <v>33</v>
      </c>
      <c r="C92" s="16">
        <v>20200518</v>
      </c>
      <c r="D92" s="15" t="s">
        <v>3</v>
      </c>
      <c r="E92" s="15" t="s">
        <v>219</v>
      </c>
      <c r="F92" s="95" t="s">
        <v>326</v>
      </c>
      <c r="G92" s="17">
        <v>1369873</v>
      </c>
      <c r="H92" s="52" t="s">
        <v>61</v>
      </c>
      <c r="I92" s="15" t="s">
        <v>228</v>
      </c>
      <c r="J92" s="52" t="s">
        <v>61</v>
      </c>
      <c r="K92" s="15" t="s">
        <v>147</v>
      </c>
      <c r="L92" s="15" t="s">
        <v>304</v>
      </c>
      <c r="M92" s="15" t="s">
        <v>220</v>
      </c>
      <c r="N92" s="15" t="s">
        <v>223</v>
      </c>
      <c r="O92" s="17" t="s">
        <v>61</v>
      </c>
      <c r="P92" s="17" t="s">
        <v>266</v>
      </c>
      <c r="Q92" s="18"/>
      <c r="R92" s="52" t="s">
        <v>61</v>
      </c>
      <c r="S92" s="15" t="s">
        <v>70</v>
      </c>
      <c r="T92" s="15"/>
      <c r="U92" s="15"/>
      <c r="V92" s="15">
        <v>162</v>
      </c>
      <c r="W92" s="15">
        <f t="shared" si="19"/>
        <v>162</v>
      </c>
      <c r="X92" s="15">
        <f t="shared" si="24"/>
        <v>162</v>
      </c>
      <c r="Y92" s="15">
        <f>ROUNDDOWN(W92/HLOOKUP(D92,Table!$C$3:$D$4,2,0)*8,2)</f>
        <v>2.88</v>
      </c>
      <c r="Z92" s="15">
        <v>1</v>
      </c>
      <c r="AA92" s="15" t="s">
        <v>21</v>
      </c>
      <c r="AB92" s="19">
        <v>43973</v>
      </c>
      <c r="AC92" s="19">
        <v>43969</v>
      </c>
      <c r="AD92" s="19">
        <v>43973</v>
      </c>
      <c r="AE92" s="19">
        <v>43970</v>
      </c>
      <c r="AF92" s="19">
        <v>43970</v>
      </c>
      <c r="AG92" s="19" t="s">
        <v>177</v>
      </c>
      <c r="AH92" s="31">
        <v>1</v>
      </c>
      <c r="AI92" s="31">
        <v>1</v>
      </c>
      <c r="AJ92" s="31">
        <v>1</v>
      </c>
      <c r="AK92" s="19" t="s">
        <v>151</v>
      </c>
      <c r="AL92" s="17" t="s">
        <v>61</v>
      </c>
      <c r="AM92" s="17" t="s">
        <v>61</v>
      </c>
      <c r="AN92" s="17" t="s">
        <v>61</v>
      </c>
    </row>
    <row r="93" spans="2:40" hidden="1" x14ac:dyDescent="0.25">
      <c r="B93" s="96">
        <f t="shared" si="21"/>
        <v>34</v>
      </c>
      <c r="C93" s="16">
        <v>20200518</v>
      </c>
      <c r="D93" s="15" t="s">
        <v>3</v>
      </c>
      <c r="E93" s="15" t="s">
        <v>219</v>
      </c>
      <c r="F93" s="95" t="s">
        <v>326</v>
      </c>
      <c r="G93" s="17">
        <v>1369873</v>
      </c>
      <c r="H93" s="52" t="s">
        <v>61</v>
      </c>
      <c r="I93" s="15" t="s">
        <v>260</v>
      </c>
      <c r="J93" s="52" t="s">
        <v>61</v>
      </c>
      <c r="K93" s="15" t="s">
        <v>147</v>
      </c>
      <c r="L93" s="15" t="s">
        <v>304</v>
      </c>
      <c r="M93" s="15" t="s">
        <v>220</v>
      </c>
      <c r="N93" s="15" t="s">
        <v>223</v>
      </c>
      <c r="O93" s="17" t="s">
        <v>61</v>
      </c>
      <c r="P93" s="17" t="s">
        <v>266</v>
      </c>
      <c r="Q93" s="18"/>
      <c r="R93" s="52" t="s">
        <v>61</v>
      </c>
      <c r="S93" s="15" t="s">
        <v>69</v>
      </c>
      <c r="T93" s="15"/>
      <c r="U93" s="15"/>
      <c r="V93" s="15">
        <v>55</v>
      </c>
      <c r="W93" s="15">
        <f t="shared" si="19"/>
        <v>55</v>
      </c>
      <c r="X93" s="15">
        <f t="shared" si="24"/>
        <v>55</v>
      </c>
      <c r="Y93" s="15">
        <f>ROUNDDOWN(W93/HLOOKUP(D93,Table!$C$3:$D$4,2,0)*8,2)</f>
        <v>0.97</v>
      </c>
      <c r="Z93" s="15">
        <v>0.5</v>
      </c>
      <c r="AA93" s="15" t="s">
        <v>21</v>
      </c>
      <c r="AB93" s="19">
        <v>43973</v>
      </c>
      <c r="AC93" s="19">
        <v>43969</v>
      </c>
      <c r="AD93" s="19">
        <v>43973</v>
      </c>
      <c r="AE93" s="19">
        <v>43970</v>
      </c>
      <c r="AF93" s="19">
        <v>43970</v>
      </c>
      <c r="AG93" s="19" t="s">
        <v>177</v>
      </c>
      <c r="AH93" s="31">
        <v>1</v>
      </c>
      <c r="AI93" s="31">
        <v>1</v>
      </c>
      <c r="AJ93" s="31">
        <v>1</v>
      </c>
      <c r="AK93" s="19" t="s">
        <v>151</v>
      </c>
      <c r="AL93" s="17" t="s">
        <v>61</v>
      </c>
      <c r="AM93" s="17" t="s">
        <v>61</v>
      </c>
      <c r="AN93" s="17" t="s">
        <v>61</v>
      </c>
    </row>
    <row r="94" spans="2:40" hidden="1" x14ac:dyDescent="0.25">
      <c r="B94" s="96">
        <f t="shared" si="21"/>
        <v>35</v>
      </c>
      <c r="C94" s="16">
        <v>20200518</v>
      </c>
      <c r="D94" s="15" t="s">
        <v>3</v>
      </c>
      <c r="E94" s="15" t="s">
        <v>219</v>
      </c>
      <c r="F94" s="95" t="s">
        <v>326</v>
      </c>
      <c r="G94" s="17">
        <v>1369873</v>
      </c>
      <c r="H94" s="52" t="s">
        <v>61</v>
      </c>
      <c r="I94" s="15" t="s">
        <v>261</v>
      </c>
      <c r="J94" s="52" t="s">
        <v>61</v>
      </c>
      <c r="K94" s="15" t="s">
        <v>147</v>
      </c>
      <c r="L94" s="15" t="s">
        <v>304</v>
      </c>
      <c r="M94" s="15" t="s">
        <v>220</v>
      </c>
      <c r="N94" s="15" t="s">
        <v>223</v>
      </c>
      <c r="O94" s="17" t="s">
        <v>61</v>
      </c>
      <c r="P94" s="17" t="s">
        <v>266</v>
      </c>
      <c r="Q94" s="18"/>
      <c r="R94" s="52" t="s">
        <v>61</v>
      </c>
      <c r="S94" s="15" t="s">
        <v>68</v>
      </c>
      <c r="T94" s="15"/>
      <c r="U94" s="15"/>
      <c r="V94" s="15">
        <v>35</v>
      </c>
      <c r="W94" s="15">
        <f t="shared" si="19"/>
        <v>35</v>
      </c>
      <c r="X94" s="15">
        <f t="shared" si="24"/>
        <v>35</v>
      </c>
      <c r="Y94" s="15">
        <f>ROUNDDOWN(W94/HLOOKUP(D94,Table!$C$3:$D$4,2,0)*8,2)</f>
        <v>0.62</v>
      </c>
      <c r="Z94" s="15">
        <f>Y94</f>
        <v>0.62</v>
      </c>
      <c r="AA94" s="15" t="s">
        <v>21</v>
      </c>
      <c r="AB94" s="19">
        <v>43973</v>
      </c>
      <c r="AC94" s="19">
        <v>43969</v>
      </c>
      <c r="AD94" s="19">
        <v>43973</v>
      </c>
      <c r="AE94" s="19">
        <v>43970</v>
      </c>
      <c r="AF94" s="19">
        <v>43970</v>
      </c>
      <c r="AG94" s="19" t="s">
        <v>177</v>
      </c>
      <c r="AH94" s="31">
        <v>1</v>
      </c>
      <c r="AI94" s="31">
        <v>1</v>
      </c>
      <c r="AJ94" s="31">
        <v>1</v>
      </c>
      <c r="AK94" s="19" t="s">
        <v>151</v>
      </c>
      <c r="AL94" s="17"/>
      <c r="AM94" s="17"/>
      <c r="AN94" s="17"/>
    </row>
    <row r="95" spans="2:40" hidden="1" x14ac:dyDescent="0.25">
      <c r="B95" s="96">
        <f t="shared" si="21"/>
        <v>36</v>
      </c>
      <c r="C95" s="16">
        <v>20200518</v>
      </c>
      <c r="D95" s="15" t="s">
        <v>3</v>
      </c>
      <c r="E95" s="15" t="s">
        <v>219</v>
      </c>
      <c r="F95" s="95" t="s">
        <v>327</v>
      </c>
      <c r="G95" s="17">
        <v>1369873</v>
      </c>
      <c r="H95" s="52" t="s">
        <v>61</v>
      </c>
      <c r="I95" s="85" t="s">
        <v>259</v>
      </c>
      <c r="J95" s="52" t="s">
        <v>61</v>
      </c>
      <c r="K95" s="15" t="s">
        <v>147</v>
      </c>
      <c r="L95" s="15" t="s">
        <v>304</v>
      </c>
      <c r="M95" s="15" t="s">
        <v>220</v>
      </c>
      <c r="N95" s="15" t="s">
        <v>223</v>
      </c>
      <c r="O95" s="17" t="s">
        <v>61</v>
      </c>
      <c r="P95" s="17" t="s">
        <v>266</v>
      </c>
      <c r="Q95" s="18"/>
      <c r="R95" s="52" t="s">
        <v>61</v>
      </c>
      <c r="S95" s="15" t="s">
        <v>69</v>
      </c>
      <c r="T95" s="15"/>
      <c r="U95" s="15"/>
      <c r="V95" s="15">
        <v>25</v>
      </c>
      <c r="W95" s="15">
        <f t="shared" si="19"/>
        <v>25</v>
      </c>
      <c r="X95" s="15">
        <f t="shared" si="24"/>
        <v>25</v>
      </c>
      <c r="Y95" s="15">
        <f>ROUNDDOWN(W95/HLOOKUP(D95,Table!$C$3:$D$4,2,0)*8,2)</f>
        <v>0.44</v>
      </c>
      <c r="Z95" s="15">
        <v>0.3</v>
      </c>
      <c r="AA95" s="15" t="s">
        <v>21</v>
      </c>
      <c r="AB95" s="19">
        <v>43973</v>
      </c>
      <c r="AC95" s="19">
        <v>43969</v>
      </c>
      <c r="AD95" s="19">
        <v>43973</v>
      </c>
      <c r="AE95" s="19">
        <v>43970</v>
      </c>
      <c r="AF95" s="19">
        <v>43970</v>
      </c>
      <c r="AG95" s="19" t="s">
        <v>177</v>
      </c>
      <c r="AH95" s="31">
        <v>1</v>
      </c>
      <c r="AI95" s="31">
        <v>1</v>
      </c>
      <c r="AJ95" s="31">
        <v>1</v>
      </c>
      <c r="AK95" s="19" t="s">
        <v>151</v>
      </c>
      <c r="AL95" s="17" t="s">
        <v>61</v>
      </c>
      <c r="AM95" s="17" t="s">
        <v>61</v>
      </c>
      <c r="AN95" s="17" t="s">
        <v>61</v>
      </c>
    </row>
    <row r="96" spans="2:40" hidden="1" x14ac:dyDescent="0.25">
      <c r="B96" s="96">
        <f t="shared" si="21"/>
        <v>37</v>
      </c>
      <c r="C96" s="16">
        <v>20200518</v>
      </c>
      <c r="D96" s="15" t="s">
        <v>3</v>
      </c>
      <c r="E96" s="15" t="s">
        <v>219</v>
      </c>
      <c r="F96" s="95" t="s">
        <v>326</v>
      </c>
      <c r="G96" s="17">
        <v>1369873</v>
      </c>
      <c r="H96" s="52" t="s">
        <v>61</v>
      </c>
      <c r="I96" s="15" t="s">
        <v>262</v>
      </c>
      <c r="J96" s="52" t="s">
        <v>61</v>
      </c>
      <c r="K96" s="15" t="s">
        <v>147</v>
      </c>
      <c r="L96" s="15" t="s">
        <v>304</v>
      </c>
      <c r="M96" s="15" t="s">
        <v>220</v>
      </c>
      <c r="N96" s="15" t="s">
        <v>223</v>
      </c>
      <c r="O96" s="17" t="s">
        <v>61</v>
      </c>
      <c r="P96" s="17" t="s">
        <v>266</v>
      </c>
      <c r="Q96" s="18"/>
      <c r="R96" s="52" t="s">
        <v>61</v>
      </c>
      <c r="S96" s="15" t="s">
        <v>69</v>
      </c>
      <c r="T96" s="15"/>
      <c r="U96" s="15"/>
      <c r="V96" s="15">
        <v>60</v>
      </c>
      <c r="W96" s="15">
        <f t="shared" si="19"/>
        <v>60</v>
      </c>
      <c r="X96" s="15">
        <f t="shared" si="24"/>
        <v>60</v>
      </c>
      <c r="Y96" s="15">
        <f>ROUNDDOWN(W96/HLOOKUP(D96,Table!$C$3:$D$4,2,0)*8,2)</f>
        <v>1.06</v>
      </c>
      <c r="Z96" s="15">
        <v>1</v>
      </c>
      <c r="AA96" s="15" t="s">
        <v>21</v>
      </c>
      <c r="AB96" s="19">
        <v>43973</v>
      </c>
      <c r="AC96" s="19">
        <v>43969</v>
      </c>
      <c r="AD96" s="19">
        <v>43973</v>
      </c>
      <c r="AE96" s="19">
        <v>43970</v>
      </c>
      <c r="AF96" s="19">
        <v>43970</v>
      </c>
      <c r="AG96" s="19" t="s">
        <v>177</v>
      </c>
      <c r="AH96" s="31">
        <v>1</v>
      </c>
      <c r="AI96" s="31">
        <v>1</v>
      </c>
      <c r="AJ96" s="31">
        <v>1</v>
      </c>
      <c r="AK96" s="19" t="s">
        <v>151</v>
      </c>
      <c r="AL96" s="17" t="s">
        <v>61</v>
      </c>
      <c r="AM96" s="17" t="s">
        <v>61</v>
      </c>
      <c r="AN96" s="17" t="s">
        <v>61</v>
      </c>
    </row>
    <row r="97" spans="2:40" x14ac:dyDescent="0.25">
      <c r="B97" s="97">
        <f t="shared" si="21"/>
        <v>38</v>
      </c>
      <c r="C97" s="16">
        <v>20200518</v>
      </c>
      <c r="D97" s="15" t="s">
        <v>3</v>
      </c>
      <c r="E97" s="15" t="s">
        <v>268</v>
      </c>
      <c r="F97" s="74" t="s">
        <v>279</v>
      </c>
      <c r="G97" s="17">
        <v>1473225</v>
      </c>
      <c r="H97" s="52" t="s">
        <v>61</v>
      </c>
      <c r="I97" s="15" t="s">
        <v>721</v>
      </c>
      <c r="J97" s="52" t="s">
        <v>61</v>
      </c>
      <c r="K97" s="15" t="s">
        <v>147</v>
      </c>
      <c r="L97" s="15" t="s">
        <v>274</v>
      </c>
      <c r="M97" s="99" t="s">
        <v>301</v>
      </c>
      <c r="N97" s="15" t="s">
        <v>276</v>
      </c>
      <c r="O97" s="17" t="s">
        <v>61</v>
      </c>
      <c r="P97" s="17" t="s">
        <v>272</v>
      </c>
      <c r="Q97" s="18"/>
      <c r="R97" s="52" t="s">
        <v>61</v>
      </c>
      <c r="S97" s="15" t="s">
        <v>143</v>
      </c>
      <c r="T97" s="15"/>
      <c r="U97" s="15"/>
      <c r="V97" s="15">
        <v>86</v>
      </c>
      <c r="W97" s="15">
        <f t="shared" ref="W97:X101" si="25">V97</f>
        <v>86</v>
      </c>
      <c r="X97" s="15">
        <f t="shared" si="25"/>
        <v>86</v>
      </c>
      <c r="Y97" s="15">
        <f>ROUNDDOWN(W97/HLOOKUP(D97,Table!$C$3:$D$4,2,0)*8,2)</f>
        <v>1.52</v>
      </c>
      <c r="Z97" s="15">
        <v>0.5</v>
      </c>
      <c r="AA97" s="15" t="s">
        <v>21</v>
      </c>
      <c r="AB97" s="19">
        <v>43978</v>
      </c>
      <c r="AC97" s="19">
        <v>43969</v>
      </c>
      <c r="AD97" s="156">
        <v>43978</v>
      </c>
      <c r="AE97" s="19">
        <v>43970</v>
      </c>
      <c r="AF97" s="19">
        <v>43970</v>
      </c>
      <c r="AG97" s="19" t="s">
        <v>177</v>
      </c>
      <c r="AH97" s="31">
        <v>1</v>
      </c>
      <c r="AI97" s="31">
        <v>1</v>
      </c>
      <c r="AJ97" s="31">
        <v>1</v>
      </c>
      <c r="AK97" s="19" t="s">
        <v>151</v>
      </c>
      <c r="AL97" s="90" t="s">
        <v>61</v>
      </c>
      <c r="AM97" s="15" t="s">
        <v>61</v>
      </c>
      <c r="AN97" s="15" t="s">
        <v>61</v>
      </c>
    </row>
    <row r="98" spans="2:40" hidden="1" x14ac:dyDescent="0.25">
      <c r="B98" s="97">
        <f t="shared" si="21"/>
        <v>39</v>
      </c>
      <c r="C98" s="16">
        <v>20200518</v>
      </c>
      <c r="D98" s="15" t="s">
        <v>3</v>
      </c>
      <c r="E98" s="15" t="s">
        <v>269</v>
      </c>
      <c r="F98" s="74" t="s">
        <v>280</v>
      </c>
      <c r="G98" s="17">
        <v>1472050</v>
      </c>
      <c r="H98" s="52" t="s">
        <v>61</v>
      </c>
      <c r="I98" s="15" t="s">
        <v>270</v>
      </c>
      <c r="J98" s="52" t="s">
        <v>61</v>
      </c>
      <c r="K98" s="15" t="s">
        <v>147</v>
      </c>
      <c r="L98" s="15" t="s">
        <v>275</v>
      </c>
      <c r="M98" s="15" t="s">
        <v>151</v>
      </c>
      <c r="N98" s="99" t="s">
        <v>277</v>
      </c>
      <c r="O98" s="17" t="s">
        <v>61</v>
      </c>
      <c r="P98" s="17" t="s">
        <v>273</v>
      </c>
      <c r="Q98" s="18"/>
      <c r="R98" s="52" t="s">
        <v>61</v>
      </c>
      <c r="S98" s="15" t="s">
        <v>65</v>
      </c>
      <c r="T98" s="15"/>
      <c r="U98" s="15"/>
      <c r="V98" s="15">
        <v>641</v>
      </c>
      <c r="W98" s="15">
        <f t="shared" si="25"/>
        <v>641</v>
      </c>
      <c r="X98" s="15">
        <f>W98</f>
        <v>641</v>
      </c>
      <c r="Y98" s="15">
        <f>ROUNDDOWN(W98/HLOOKUP(D98,Table!$C$3:$D$4,2,0)*8,2)</f>
        <v>11.39</v>
      </c>
      <c r="Z98" s="15">
        <v>2</v>
      </c>
      <c r="AA98" s="15" t="s">
        <v>21</v>
      </c>
      <c r="AB98" s="19">
        <v>43978</v>
      </c>
      <c r="AC98" s="19">
        <v>43969</v>
      </c>
      <c r="AD98" s="156">
        <v>43978</v>
      </c>
      <c r="AE98" s="19">
        <v>43971</v>
      </c>
      <c r="AF98" s="19">
        <v>43971</v>
      </c>
      <c r="AG98" s="19" t="s">
        <v>177</v>
      </c>
      <c r="AH98" s="31">
        <v>1</v>
      </c>
      <c r="AI98" s="31">
        <v>1</v>
      </c>
      <c r="AJ98" s="31">
        <v>1</v>
      </c>
      <c r="AK98" s="19" t="s">
        <v>151</v>
      </c>
      <c r="AL98" s="15"/>
      <c r="AM98" s="15"/>
      <c r="AN98" s="15" t="s">
        <v>278</v>
      </c>
    </row>
    <row r="99" spans="2:40" hidden="1" x14ac:dyDescent="0.25">
      <c r="B99" s="97">
        <f t="shared" si="21"/>
        <v>40</v>
      </c>
      <c r="C99" s="16">
        <v>20200518</v>
      </c>
      <c r="D99" s="15" t="s">
        <v>3</v>
      </c>
      <c r="E99" s="15" t="s">
        <v>269</v>
      </c>
      <c r="F99" s="74" t="s">
        <v>281</v>
      </c>
      <c r="G99" s="17">
        <v>1472050</v>
      </c>
      <c r="H99" s="52" t="s">
        <v>61</v>
      </c>
      <c r="I99" s="15" t="s">
        <v>271</v>
      </c>
      <c r="J99" s="52" t="s">
        <v>61</v>
      </c>
      <c r="K99" s="15" t="s">
        <v>147</v>
      </c>
      <c r="L99" s="15" t="s">
        <v>275</v>
      </c>
      <c r="M99" s="15" t="s">
        <v>151</v>
      </c>
      <c r="N99" s="99" t="s">
        <v>277</v>
      </c>
      <c r="O99" s="17" t="s">
        <v>61</v>
      </c>
      <c r="P99" s="17" t="s">
        <v>273</v>
      </c>
      <c r="Q99" s="18"/>
      <c r="R99" s="52" t="s">
        <v>61</v>
      </c>
      <c r="S99" s="15" t="s">
        <v>65</v>
      </c>
      <c r="T99" s="15"/>
      <c r="U99" s="15"/>
      <c r="V99" s="15">
        <v>296</v>
      </c>
      <c r="W99" s="15">
        <f t="shared" si="25"/>
        <v>296</v>
      </c>
      <c r="X99" s="15">
        <f>W99</f>
        <v>296</v>
      </c>
      <c r="Y99" s="15">
        <f>ROUNDDOWN(W99/HLOOKUP(D99,Table!$C$3:$D$4,2,0)*8,2)</f>
        <v>5.26</v>
      </c>
      <c r="Z99" s="15">
        <v>2</v>
      </c>
      <c r="AA99" s="15" t="s">
        <v>21</v>
      </c>
      <c r="AB99" s="19">
        <v>43978</v>
      </c>
      <c r="AC99" s="19">
        <v>43969</v>
      </c>
      <c r="AD99" s="156">
        <v>43978</v>
      </c>
      <c r="AE99" s="19">
        <v>43971</v>
      </c>
      <c r="AF99" s="19">
        <v>43971</v>
      </c>
      <c r="AG99" s="19" t="s">
        <v>177</v>
      </c>
      <c r="AH99" s="31">
        <v>1</v>
      </c>
      <c r="AI99" s="31">
        <v>1</v>
      </c>
      <c r="AJ99" s="31">
        <v>1</v>
      </c>
      <c r="AK99" s="19" t="s">
        <v>151</v>
      </c>
      <c r="AL99" s="15"/>
      <c r="AM99" s="15"/>
      <c r="AN99" s="15" t="s">
        <v>278</v>
      </c>
    </row>
    <row r="100" spans="2:40" hidden="1" x14ac:dyDescent="0.25">
      <c r="B100" s="97">
        <f t="shared" si="21"/>
        <v>41</v>
      </c>
      <c r="C100" s="16">
        <v>20200518</v>
      </c>
      <c r="D100" s="15" t="s">
        <v>3</v>
      </c>
      <c r="E100" s="15" t="s">
        <v>269</v>
      </c>
      <c r="F100" s="74" t="s">
        <v>282</v>
      </c>
      <c r="G100" s="17">
        <v>1472050</v>
      </c>
      <c r="H100" s="52" t="s">
        <v>61</v>
      </c>
      <c r="I100" s="15" t="s">
        <v>217</v>
      </c>
      <c r="J100" s="52" t="s">
        <v>61</v>
      </c>
      <c r="K100" s="15" t="s">
        <v>147</v>
      </c>
      <c r="L100" s="15" t="s">
        <v>275</v>
      </c>
      <c r="M100" s="15" t="s">
        <v>151</v>
      </c>
      <c r="N100" s="99" t="s">
        <v>277</v>
      </c>
      <c r="O100" s="17" t="s">
        <v>61</v>
      </c>
      <c r="P100" s="17" t="s">
        <v>273</v>
      </c>
      <c r="Q100" s="18"/>
      <c r="R100" s="52" t="s">
        <v>61</v>
      </c>
      <c r="S100" s="15" t="s">
        <v>65</v>
      </c>
      <c r="T100" s="15"/>
      <c r="U100" s="15"/>
      <c r="V100" s="15">
        <v>259</v>
      </c>
      <c r="W100" s="15">
        <f t="shared" si="25"/>
        <v>259</v>
      </c>
      <c r="X100" s="15">
        <f>W100</f>
        <v>259</v>
      </c>
      <c r="Y100" s="15">
        <f>ROUNDDOWN(W100/HLOOKUP(D100,Table!$C$3:$D$4,2,0)*8,2)</f>
        <v>4.5999999999999996</v>
      </c>
      <c r="Z100" s="15">
        <v>1</v>
      </c>
      <c r="AA100" s="15" t="s">
        <v>21</v>
      </c>
      <c r="AB100" s="19">
        <v>43978</v>
      </c>
      <c r="AC100" s="19">
        <v>43969</v>
      </c>
      <c r="AD100" s="156">
        <v>43978</v>
      </c>
      <c r="AE100" s="19">
        <v>43971</v>
      </c>
      <c r="AF100" s="19">
        <v>43971</v>
      </c>
      <c r="AG100" s="19" t="s">
        <v>178</v>
      </c>
      <c r="AH100" s="31">
        <v>1</v>
      </c>
      <c r="AI100" s="31">
        <v>1</v>
      </c>
      <c r="AJ100" s="31">
        <v>0.83</v>
      </c>
      <c r="AK100" s="19" t="s">
        <v>140</v>
      </c>
      <c r="AL100" s="15" t="s">
        <v>664</v>
      </c>
      <c r="AM100" s="15"/>
      <c r="AN100" s="15" t="s">
        <v>717</v>
      </c>
    </row>
    <row r="101" spans="2:40" hidden="1" x14ac:dyDescent="0.25">
      <c r="B101" s="97">
        <f t="shared" si="21"/>
        <v>42</v>
      </c>
      <c r="C101" s="16">
        <v>20200518</v>
      </c>
      <c r="D101" s="15" t="s">
        <v>3</v>
      </c>
      <c r="E101" s="15" t="s">
        <v>269</v>
      </c>
      <c r="F101" s="74" t="s">
        <v>283</v>
      </c>
      <c r="G101" s="17">
        <v>1472050</v>
      </c>
      <c r="H101" s="52" t="s">
        <v>61</v>
      </c>
      <c r="I101" s="15" t="s">
        <v>198</v>
      </c>
      <c r="J101" s="52" t="s">
        <v>61</v>
      </c>
      <c r="K101" s="15" t="s">
        <v>147</v>
      </c>
      <c r="L101" s="15" t="s">
        <v>275</v>
      </c>
      <c r="M101" s="15" t="s">
        <v>151</v>
      </c>
      <c r="N101" s="99" t="s">
        <v>277</v>
      </c>
      <c r="O101" s="17" t="s">
        <v>61</v>
      </c>
      <c r="P101" s="17" t="s">
        <v>273</v>
      </c>
      <c r="Q101" s="18"/>
      <c r="R101" s="52" t="s">
        <v>61</v>
      </c>
      <c r="S101" s="15" t="s">
        <v>65</v>
      </c>
      <c r="T101" s="15"/>
      <c r="U101" s="15"/>
      <c r="V101" s="15">
        <v>371</v>
      </c>
      <c r="W101" s="15">
        <f t="shared" si="25"/>
        <v>371</v>
      </c>
      <c r="X101" s="15">
        <f>W101</f>
        <v>371</v>
      </c>
      <c r="Y101" s="15">
        <f>ROUNDDOWN(W101/HLOOKUP(D101,Table!$C$3:$D$4,2,0)*8,2)</f>
        <v>6.59</v>
      </c>
      <c r="Z101" s="15">
        <v>2</v>
      </c>
      <c r="AA101" s="15" t="s">
        <v>21</v>
      </c>
      <c r="AB101" s="19">
        <v>43978</v>
      </c>
      <c r="AC101" s="19">
        <v>43969</v>
      </c>
      <c r="AD101" s="156">
        <v>43978</v>
      </c>
      <c r="AE101" s="19">
        <v>43971</v>
      </c>
      <c r="AF101" s="19">
        <v>43971</v>
      </c>
      <c r="AG101" s="19" t="s">
        <v>177</v>
      </c>
      <c r="AH101" s="31">
        <v>1</v>
      </c>
      <c r="AI101" s="31">
        <v>1</v>
      </c>
      <c r="AJ101" s="31">
        <v>1</v>
      </c>
      <c r="AK101" s="19" t="s">
        <v>151</v>
      </c>
      <c r="AL101" s="15"/>
      <c r="AM101" s="15"/>
      <c r="AN101" s="15" t="s">
        <v>278</v>
      </c>
    </row>
    <row r="102" spans="2:40" hidden="1" x14ac:dyDescent="0.25">
      <c r="B102" s="41">
        <f t="shared" si="21"/>
        <v>43</v>
      </c>
      <c r="C102" s="16">
        <v>20200519</v>
      </c>
      <c r="D102" s="15" t="s">
        <v>3</v>
      </c>
      <c r="E102" s="81" t="s">
        <v>219</v>
      </c>
      <c r="F102" s="74" t="s">
        <v>326</v>
      </c>
      <c r="G102" s="81">
        <v>1473546</v>
      </c>
      <c r="H102" s="52" t="s">
        <v>61</v>
      </c>
      <c r="I102" s="81" t="s">
        <v>288</v>
      </c>
      <c r="J102" s="52" t="s">
        <v>61</v>
      </c>
      <c r="K102" s="15" t="s">
        <v>147</v>
      </c>
      <c r="L102" s="15" t="s">
        <v>151</v>
      </c>
      <c r="M102" s="81" t="s">
        <v>220</v>
      </c>
      <c r="N102" s="81" t="s">
        <v>223</v>
      </c>
      <c r="O102" s="17" t="s">
        <v>61</v>
      </c>
      <c r="P102" s="78" t="s">
        <v>310</v>
      </c>
      <c r="Q102" s="18"/>
      <c r="R102" s="52" t="s">
        <v>61</v>
      </c>
      <c r="S102" s="15" t="s">
        <v>70</v>
      </c>
      <c r="T102" s="15"/>
      <c r="U102" s="15"/>
      <c r="V102" s="81">
        <v>109</v>
      </c>
      <c r="W102" s="15">
        <f t="shared" ref="W102:W126" si="26">V102</f>
        <v>109</v>
      </c>
      <c r="X102" s="15">
        <f t="shared" ref="X102:X106" si="27">W102</f>
        <v>109</v>
      </c>
      <c r="Y102" s="15">
        <f>ROUNDDOWN(W102/HLOOKUP(D102,Table!$C$3:$D$4,2,0)*8,2)</f>
        <v>1.93</v>
      </c>
      <c r="Z102" s="15">
        <v>0.5</v>
      </c>
      <c r="AA102" s="15" t="s">
        <v>74</v>
      </c>
      <c r="AB102" s="19">
        <v>43973</v>
      </c>
      <c r="AC102" s="19">
        <v>43970</v>
      </c>
      <c r="AD102" s="19">
        <v>43973</v>
      </c>
      <c r="AE102" s="19">
        <v>43970</v>
      </c>
      <c r="AF102" s="19">
        <v>43970</v>
      </c>
      <c r="AG102" s="19" t="s">
        <v>177</v>
      </c>
      <c r="AH102" s="31">
        <v>1</v>
      </c>
      <c r="AI102" s="31">
        <v>1</v>
      </c>
      <c r="AJ102" s="31">
        <v>1</v>
      </c>
      <c r="AK102" s="19" t="s">
        <v>151</v>
      </c>
      <c r="AL102" s="98" t="s">
        <v>61</v>
      </c>
      <c r="AM102" s="98" t="s">
        <v>61</v>
      </c>
      <c r="AN102" s="98" t="s">
        <v>61</v>
      </c>
    </row>
    <row r="103" spans="2:40" hidden="1" x14ac:dyDescent="0.25">
      <c r="B103" s="41">
        <f t="shared" si="21"/>
        <v>44</v>
      </c>
      <c r="C103" s="16">
        <v>20200519</v>
      </c>
      <c r="D103" s="15" t="s">
        <v>3</v>
      </c>
      <c r="E103" s="81" t="s">
        <v>219</v>
      </c>
      <c r="F103" s="74" t="s">
        <v>326</v>
      </c>
      <c r="G103" s="81">
        <v>1473546</v>
      </c>
      <c r="H103" s="52" t="s">
        <v>61</v>
      </c>
      <c r="I103" s="150" t="s">
        <v>289</v>
      </c>
      <c r="J103" s="52" t="s">
        <v>61</v>
      </c>
      <c r="K103" s="15" t="s">
        <v>147</v>
      </c>
      <c r="L103" s="15" t="s">
        <v>151</v>
      </c>
      <c r="M103" s="81" t="s">
        <v>220</v>
      </c>
      <c r="N103" s="15" t="s">
        <v>223</v>
      </c>
      <c r="O103" s="17" t="s">
        <v>61</v>
      </c>
      <c r="P103" s="17" t="s">
        <v>310</v>
      </c>
      <c r="Q103" s="18"/>
      <c r="R103" s="52" t="s">
        <v>61</v>
      </c>
      <c r="S103" s="15" t="s">
        <v>69</v>
      </c>
      <c r="T103" s="15"/>
      <c r="U103" s="15"/>
      <c r="V103" s="81">
        <v>268</v>
      </c>
      <c r="W103" s="15">
        <f t="shared" si="26"/>
        <v>268</v>
      </c>
      <c r="X103" s="15">
        <f t="shared" si="27"/>
        <v>268</v>
      </c>
      <c r="Y103" s="15">
        <f>ROUNDDOWN(W103/HLOOKUP(D103,Table!$C$3:$D$4,2,0)*8,2)</f>
        <v>4.76</v>
      </c>
      <c r="Z103" s="15">
        <v>4</v>
      </c>
      <c r="AA103" s="15" t="s">
        <v>74</v>
      </c>
      <c r="AB103" s="19">
        <v>43973</v>
      </c>
      <c r="AC103" s="19">
        <v>43969</v>
      </c>
      <c r="AD103" s="19">
        <v>43973</v>
      </c>
      <c r="AE103" s="19">
        <v>43970</v>
      </c>
      <c r="AF103" s="19">
        <v>43970</v>
      </c>
      <c r="AG103" s="19" t="s">
        <v>177</v>
      </c>
      <c r="AH103" s="31">
        <v>1</v>
      </c>
      <c r="AI103" s="31">
        <v>1</v>
      </c>
      <c r="AJ103" s="31">
        <v>1</v>
      </c>
      <c r="AK103" s="19" t="s">
        <v>151</v>
      </c>
      <c r="AL103" s="98" t="s">
        <v>61</v>
      </c>
      <c r="AM103" s="98" t="s">
        <v>61</v>
      </c>
      <c r="AN103" s="98" t="s">
        <v>61</v>
      </c>
    </row>
    <row r="104" spans="2:40" hidden="1" x14ac:dyDescent="0.25">
      <c r="B104" s="41">
        <f t="shared" si="21"/>
        <v>45</v>
      </c>
      <c r="C104" s="16">
        <v>20200519</v>
      </c>
      <c r="D104" s="15" t="s">
        <v>3</v>
      </c>
      <c r="E104" s="81" t="s">
        <v>219</v>
      </c>
      <c r="F104" s="95" t="s">
        <v>325</v>
      </c>
      <c r="G104" s="81">
        <v>1473546</v>
      </c>
      <c r="H104" s="52" t="s">
        <v>61</v>
      </c>
      <c r="I104" s="81" t="s">
        <v>225</v>
      </c>
      <c r="J104" s="52" t="s">
        <v>61</v>
      </c>
      <c r="K104" s="15" t="s">
        <v>147</v>
      </c>
      <c r="L104" s="15" t="s">
        <v>151</v>
      </c>
      <c r="M104" s="81" t="s">
        <v>220</v>
      </c>
      <c r="N104" s="15" t="s">
        <v>223</v>
      </c>
      <c r="O104" s="17" t="s">
        <v>61</v>
      </c>
      <c r="P104" s="17" t="s">
        <v>310</v>
      </c>
      <c r="Q104" s="18"/>
      <c r="R104" s="52" t="s">
        <v>61</v>
      </c>
      <c r="S104" s="15" t="s">
        <v>70</v>
      </c>
      <c r="T104" s="15"/>
      <c r="U104" s="15"/>
      <c r="V104" s="81">
        <v>63</v>
      </c>
      <c r="W104" s="15">
        <f t="shared" si="26"/>
        <v>63</v>
      </c>
      <c r="X104" s="15">
        <f t="shared" si="27"/>
        <v>63</v>
      </c>
      <c r="Y104" s="15">
        <f>ROUNDDOWN(W104/HLOOKUP(D104,Table!$C$3:$D$4,2,0)*8,2)</f>
        <v>1.1200000000000001</v>
      </c>
      <c r="Z104" s="15">
        <v>0.5</v>
      </c>
      <c r="AA104" s="15" t="s">
        <v>74</v>
      </c>
      <c r="AB104" s="19">
        <v>43973</v>
      </c>
      <c r="AC104" s="19">
        <v>43970</v>
      </c>
      <c r="AD104" s="19">
        <v>43973</v>
      </c>
      <c r="AE104" s="19">
        <v>43970</v>
      </c>
      <c r="AF104" s="19">
        <v>43970</v>
      </c>
      <c r="AG104" s="19" t="s">
        <v>177</v>
      </c>
      <c r="AH104" s="31">
        <v>1</v>
      </c>
      <c r="AI104" s="31">
        <v>1</v>
      </c>
      <c r="AJ104" s="31">
        <v>1</v>
      </c>
      <c r="AK104" s="19" t="s">
        <v>151</v>
      </c>
      <c r="AL104" s="98" t="s">
        <v>61</v>
      </c>
      <c r="AM104" s="98" t="s">
        <v>61</v>
      </c>
      <c r="AN104" s="98" t="s">
        <v>61</v>
      </c>
    </row>
    <row r="105" spans="2:40" hidden="1" x14ac:dyDescent="0.25">
      <c r="B105" s="41">
        <f t="shared" si="21"/>
        <v>46</v>
      </c>
      <c r="C105" s="16">
        <v>20200519</v>
      </c>
      <c r="D105" s="15" t="s">
        <v>3</v>
      </c>
      <c r="E105" s="81" t="s">
        <v>219</v>
      </c>
      <c r="F105" s="74" t="s">
        <v>316</v>
      </c>
      <c r="G105" s="81">
        <v>1473546</v>
      </c>
      <c r="H105" s="52" t="s">
        <v>61</v>
      </c>
      <c r="I105" s="150" t="s">
        <v>200</v>
      </c>
      <c r="J105" s="52" t="s">
        <v>61</v>
      </c>
      <c r="K105" s="15" t="s">
        <v>147</v>
      </c>
      <c r="L105" s="15" t="s">
        <v>151</v>
      </c>
      <c r="M105" s="81" t="s">
        <v>220</v>
      </c>
      <c r="N105" s="15" t="s">
        <v>223</v>
      </c>
      <c r="O105" s="17" t="s">
        <v>61</v>
      </c>
      <c r="P105" s="17" t="s">
        <v>310</v>
      </c>
      <c r="Q105" s="18"/>
      <c r="R105" s="52" t="s">
        <v>61</v>
      </c>
      <c r="S105" s="15" t="s">
        <v>69</v>
      </c>
      <c r="T105" s="15"/>
      <c r="U105" s="15"/>
      <c r="V105" s="81">
        <v>87</v>
      </c>
      <c r="W105" s="15">
        <f t="shared" si="26"/>
        <v>87</v>
      </c>
      <c r="X105" s="15">
        <f t="shared" si="27"/>
        <v>87</v>
      </c>
      <c r="Y105" s="15">
        <f>ROUNDDOWN(W105/HLOOKUP(D105,Table!$C$3:$D$4,2,0)*8,2)</f>
        <v>1.54</v>
      </c>
      <c r="Z105" s="15">
        <v>1</v>
      </c>
      <c r="AA105" s="15" t="s">
        <v>74</v>
      </c>
      <c r="AB105" s="19">
        <v>43973</v>
      </c>
      <c r="AC105" s="19">
        <v>43969</v>
      </c>
      <c r="AD105" s="19">
        <v>43973</v>
      </c>
      <c r="AE105" s="19">
        <v>43970</v>
      </c>
      <c r="AF105" s="19">
        <v>43970</v>
      </c>
      <c r="AG105" s="19" t="s">
        <v>177</v>
      </c>
      <c r="AH105" s="31">
        <v>1</v>
      </c>
      <c r="AI105" s="31">
        <v>1</v>
      </c>
      <c r="AJ105" s="31">
        <v>1</v>
      </c>
      <c r="AK105" s="19" t="s">
        <v>151</v>
      </c>
      <c r="AL105" s="98" t="s">
        <v>61</v>
      </c>
      <c r="AM105" s="98" t="s">
        <v>61</v>
      </c>
      <c r="AN105" s="98" t="s">
        <v>61</v>
      </c>
    </row>
    <row r="106" spans="2:40" hidden="1" x14ac:dyDescent="0.25">
      <c r="B106" s="41">
        <f t="shared" si="21"/>
        <v>47</v>
      </c>
      <c r="C106" s="16">
        <v>20200519</v>
      </c>
      <c r="D106" s="15" t="s">
        <v>3</v>
      </c>
      <c r="E106" s="81" t="s">
        <v>219</v>
      </c>
      <c r="F106" s="95" t="s">
        <v>328</v>
      </c>
      <c r="G106" s="81">
        <v>1473546</v>
      </c>
      <c r="H106" s="52" t="s">
        <v>61</v>
      </c>
      <c r="I106" s="81" t="s">
        <v>290</v>
      </c>
      <c r="J106" s="52" t="s">
        <v>61</v>
      </c>
      <c r="K106" s="15" t="s">
        <v>147</v>
      </c>
      <c r="L106" s="15" t="s">
        <v>151</v>
      </c>
      <c r="M106" s="81" t="s">
        <v>220</v>
      </c>
      <c r="N106" s="15" t="s">
        <v>223</v>
      </c>
      <c r="O106" s="17" t="s">
        <v>61</v>
      </c>
      <c r="P106" s="17" t="s">
        <v>310</v>
      </c>
      <c r="Q106" s="18"/>
      <c r="R106" s="52" t="s">
        <v>61</v>
      </c>
      <c r="S106" s="15" t="s">
        <v>67</v>
      </c>
      <c r="T106" s="15"/>
      <c r="U106" s="15"/>
      <c r="V106" s="81">
        <v>164</v>
      </c>
      <c r="W106" s="15">
        <f t="shared" si="26"/>
        <v>164</v>
      </c>
      <c r="X106" s="15">
        <f t="shared" si="27"/>
        <v>164</v>
      </c>
      <c r="Y106" s="15">
        <f>ROUNDDOWN(W106/HLOOKUP(D106,Table!$C$3:$D$4,2,0)*8,2)</f>
        <v>2.91</v>
      </c>
      <c r="Z106" s="15">
        <v>2.5</v>
      </c>
      <c r="AA106" s="15" t="s">
        <v>74</v>
      </c>
      <c r="AB106" s="19">
        <v>43973</v>
      </c>
      <c r="AC106" s="19">
        <v>43970</v>
      </c>
      <c r="AD106" s="19">
        <v>43973</v>
      </c>
      <c r="AE106" s="19">
        <v>43973</v>
      </c>
      <c r="AF106" s="19">
        <v>43973</v>
      </c>
      <c r="AG106" s="19" t="s">
        <v>177</v>
      </c>
      <c r="AH106" s="31">
        <v>1</v>
      </c>
      <c r="AI106" s="31">
        <v>1</v>
      </c>
      <c r="AJ106" s="31">
        <v>1</v>
      </c>
      <c r="AK106" s="19" t="s">
        <v>151</v>
      </c>
      <c r="AL106" s="113" t="s">
        <v>61</v>
      </c>
      <c r="AM106" s="113" t="s">
        <v>61</v>
      </c>
      <c r="AN106" s="113" t="s">
        <v>61</v>
      </c>
    </row>
    <row r="107" spans="2:40" hidden="1" x14ac:dyDescent="0.25">
      <c r="B107" s="41">
        <f t="shared" si="21"/>
        <v>48</v>
      </c>
      <c r="C107" s="16">
        <v>20200519</v>
      </c>
      <c r="D107" s="15" t="s">
        <v>3</v>
      </c>
      <c r="E107" s="81" t="s">
        <v>219</v>
      </c>
      <c r="F107" s="89" t="s">
        <v>329</v>
      </c>
      <c r="G107" s="109">
        <v>1473546</v>
      </c>
      <c r="H107" s="111" t="s">
        <v>61</v>
      </c>
      <c r="I107" s="109" t="s">
        <v>291</v>
      </c>
      <c r="J107" s="52" t="s">
        <v>61</v>
      </c>
      <c r="K107" s="15" t="s">
        <v>147</v>
      </c>
      <c r="L107" s="15" t="s">
        <v>151</v>
      </c>
      <c r="M107" s="81" t="s">
        <v>220</v>
      </c>
      <c r="N107" s="15" t="s">
        <v>223</v>
      </c>
      <c r="O107" s="17" t="s">
        <v>61</v>
      </c>
      <c r="P107" s="17" t="s">
        <v>310</v>
      </c>
      <c r="Q107" s="18"/>
      <c r="R107" s="52" t="s">
        <v>61</v>
      </c>
      <c r="S107" s="15" t="s">
        <v>68</v>
      </c>
      <c r="T107" s="15"/>
      <c r="U107" s="15"/>
      <c r="V107" s="81">
        <v>200</v>
      </c>
      <c r="W107" s="15">
        <f t="shared" si="26"/>
        <v>200</v>
      </c>
      <c r="X107" s="15">
        <f t="shared" ref="X107:X113" si="28">W107</f>
        <v>200</v>
      </c>
      <c r="Y107" s="15">
        <f>ROUNDDOWN(W107/HLOOKUP(D107,Table!$C$3:$D$4,2,0)*8,2)</f>
        <v>3.55</v>
      </c>
      <c r="Z107" s="15">
        <f>Y107</f>
        <v>3.55</v>
      </c>
      <c r="AA107" s="15" t="s">
        <v>74</v>
      </c>
      <c r="AB107" s="19">
        <v>43973</v>
      </c>
      <c r="AC107" s="19">
        <v>43970</v>
      </c>
      <c r="AD107" s="19">
        <v>43973</v>
      </c>
      <c r="AE107" s="19">
        <v>43970</v>
      </c>
      <c r="AF107" s="19">
        <v>43970</v>
      </c>
      <c r="AG107" s="19" t="s">
        <v>177</v>
      </c>
      <c r="AH107" s="31">
        <v>1</v>
      </c>
      <c r="AI107" s="31">
        <v>1</v>
      </c>
      <c r="AJ107" s="31">
        <v>1</v>
      </c>
      <c r="AK107" s="19" t="s">
        <v>151</v>
      </c>
      <c r="AL107" s="98" t="s">
        <v>61</v>
      </c>
      <c r="AM107" s="98" t="s">
        <v>61</v>
      </c>
      <c r="AN107" s="98" t="s">
        <v>61</v>
      </c>
    </row>
    <row r="108" spans="2:40" hidden="1" x14ac:dyDescent="0.25">
      <c r="B108" s="41">
        <f t="shared" si="21"/>
        <v>49</v>
      </c>
      <c r="C108" s="16">
        <v>20200519</v>
      </c>
      <c r="D108" s="15" t="s">
        <v>3</v>
      </c>
      <c r="E108" s="81" t="s">
        <v>219</v>
      </c>
      <c r="F108" s="74" t="s">
        <v>330</v>
      </c>
      <c r="G108" s="81">
        <v>1473546</v>
      </c>
      <c r="H108" s="52" t="s">
        <v>61</v>
      </c>
      <c r="I108" s="81" t="s">
        <v>292</v>
      </c>
      <c r="J108" s="52" t="s">
        <v>61</v>
      </c>
      <c r="K108" s="15" t="s">
        <v>147</v>
      </c>
      <c r="L108" s="15" t="s">
        <v>151</v>
      </c>
      <c r="M108" s="81" t="s">
        <v>220</v>
      </c>
      <c r="N108" s="15" t="s">
        <v>223</v>
      </c>
      <c r="O108" s="17" t="s">
        <v>61</v>
      </c>
      <c r="P108" s="17" t="s">
        <v>310</v>
      </c>
      <c r="Q108" s="18"/>
      <c r="R108" s="52" t="s">
        <v>61</v>
      </c>
      <c r="S108" s="15" t="s">
        <v>70</v>
      </c>
      <c r="T108" s="15"/>
      <c r="U108" s="15"/>
      <c r="V108" s="81">
        <v>58</v>
      </c>
      <c r="W108" s="15">
        <f t="shared" si="26"/>
        <v>58</v>
      </c>
      <c r="X108" s="15">
        <f t="shared" si="28"/>
        <v>58</v>
      </c>
      <c r="Y108" s="15">
        <f>ROUNDDOWN(W108/HLOOKUP(D108,Table!$C$3:$D$4,2,0)*8,2)</f>
        <v>1.03</v>
      </c>
      <c r="Z108" s="15">
        <v>0.5</v>
      </c>
      <c r="AA108" s="15" t="s">
        <v>74</v>
      </c>
      <c r="AB108" s="19">
        <v>43973</v>
      </c>
      <c r="AC108" s="19">
        <v>43970</v>
      </c>
      <c r="AD108" s="19">
        <v>43973</v>
      </c>
      <c r="AE108" s="19">
        <v>43970</v>
      </c>
      <c r="AF108" s="19">
        <v>43970</v>
      </c>
      <c r="AG108" s="19" t="s">
        <v>177</v>
      </c>
      <c r="AH108" s="31">
        <v>1</v>
      </c>
      <c r="AI108" s="31">
        <v>1</v>
      </c>
      <c r="AJ108" s="31">
        <v>1</v>
      </c>
      <c r="AK108" s="19" t="s">
        <v>151</v>
      </c>
      <c r="AL108" s="98" t="s">
        <v>61</v>
      </c>
      <c r="AM108" s="98" t="s">
        <v>61</v>
      </c>
      <c r="AN108" s="98" t="s">
        <v>61</v>
      </c>
    </row>
    <row r="109" spans="2:40" hidden="1" x14ac:dyDescent="0.25">
      <c r="B109" s="41">
        <f t="shared" si="21"/>
        <v>50</v>
      </c>
      <c r="C109" s="16">
        <v>20200519</v>
      </c>
      <c r="D109" s="15" t="s">
        <v>3</v>
      </c>
      <c r="E109" s="81" t="s">
        <v>219</v>
      </c>
      <c r="F109" s="74" t="s">
        <v>330</v>
      </c>
      <c r="G109" s="81">
        <v>1473546</v>
      </c>
      <c r="H109" s="52" t="s">
        <v>61</v>
      </c>
      <c r="I109" s="150" t="s">
        <v>293</v>
      </c>
      <c r="J109" s="52" t="s">
        <v>61</v>
      </c>
      <c r="K109" s="15" t="s">
        <v>147</v>
      </c>
      <c r="L109" s="15" t="s">
        <v>151</v>
      </c>
      <c r="M109" s="81" t="s">
        <v>220</v>
      </c>
      <c r="N109" s="15" t="s">
        <v>223</v>
      </c>
      <c r="O109" s="17" t="s">
        <v>61</v>
      </c>
      <c r="P109" s="17" t="s">
        <v>310</v>
      </c>
      <c r="Q109" s="18"/>
      <c r="R109" s="52" t="s">
        <v>61</v>
      </c>
      <c r="S109" s="15" t="s">
        <v>69</v>
      </c>
      <c r="T109" s="15"/>
      <c r="U109" s="15"/>
      <c r="V109" s="81">
        <v>66</v>
      </c>
      <c r="W109" s="15">
        <f t="shared" si="26"/>
        <v>66</v>
      </c>
      <c r="X109" s="15">
        <f t="shared" si="28"/>
        <v>66</v>
      </c>
      <c r="Y109" s="15">
        <f>ROUNDDOWN(W109/HLOOKUP(D109,Table!$C$3:$D$4,2,0)*8,2)</f>
        <v>1.17</v>
      </c>
      <c r="Z109" s="15">
        <v>1</v>
      </c>
      <c r="AA109" s="15" t="s">
        <v>74</v>
      </c>
      <c r="AB109" s="19">
        <v>43973</v>
      </c>
      <c r="AC109" s="19">
        <v>43969</v>
      </c>
      <c r="AD109" s="19">
        <v>43973</v>
      </c>
      <c r="AE109" s="19">
        <v>43970</v>
      </c>
      <c r="AF109" s="19">
        <v>43970</v>
      </c>
      <c r="AG109" s="19" t="s">
        <v>177</v>
      </c>
      <c r="AH109" s="31">
        <v>1</v>
      </c>
      <c r="AI109" s="31">
        <v>1</v>
      </c>
      <c r="AJ109" s="31">
        <v>1</v>
      </c>
      <c r="AK109" s="19" t="s">
        <v>151</v>
      </c>
      <c r="AL109" s="98" t="s">
        <v>61</v>
      </c>
      <c r="AM109" s="98" t="s">
        <v>61</v>
      </c>
      <c r="AN109" s="98" t="s">
        <v>61</v>
      </c>
    </row>
    <row r="110" spans="2:40" hidden="1" x14ac:dyDescent="0.25">
      <c r="B110" s="41">
        <f t="shared" si="21"/>
        <v>51</v>
      </c>
      <c r="C110" s="16">
        <v>20200519</v>
      </c>
      <c r="D110" s="15" t="s">
        <v>3</v>
      </c>
      <c r="E110" s="81" t="s">
        <v>219</v>
      </c>
      <c r="F110" s="74" t="s">
        <v>331</v>
      </c>
      <c r="G110" s="81">
        <v>1473546</v>
      </c>
      <c r="H110" s="52" t="s">
        <v>61</v>
      </c>
      <c r="I110" s="150" t="s">
        <v>294</v>
      </c>
      <c r="J110" s="52" t="s">
        <v>61</v>
      </c>
      <c r="K110" s="15" t="s">
        <v>147</v>
      </c>
      <c r="L110" s="15" t="s">
        <v>151</v>
      </c>
      <c r="M110" s="81" t="s">
        <v>220</v>
      </c>
      <c r="N110" s="15" t="s">
        <v>223</v>
      </c>
      <c r="O110" s="17" t="s">
        <v>61</v>
      </c>
      <c r="P110" s="17" t="s">
        <v>310</v>
      </c>
      <c r="Q110" s="18"/>
      <c r="R110" s="52" t="s">
        <v>61</v>
      </c>
      <c r="S110" s="15" t="s">
        <v>69</v>
      </c>
      <c r="T110" s="15"/>
      <c r="U110" s="15"/>
      <c r="V110" s="81">
        <v>75</v>
      </c>
      <c r="W110" s="15">
        <f t="shared" si="26"/>
        <v>75</v>
      </c>
      <c r="X110" s="15">
        <f t="shared" si="28"/>
        <v>75</v>
      </c>
      <c r="Y110" s="15">
        <f>ROUNDDOWN(W110/HLOOKUP(D110,Table!$C$3:$D$4,2,0)*8,2)</f>
        <v>1.33</v>
      </c>
      <c r="Z110" s="15">
        <v>1</v>
      </c>
      <c r="AA110" s="15" t="s">
        <v>74</v>
      </c>
      <c r="AB110" s="19">
        <v>43973</v>
      </c>
      <c r="AC110" s="19">
        <v>43969</v>
      </c>
      <c r="AD110" s="19">
        <v>43973</v>
      </c>
      <c r="AE110" s="19">
        <v>43970</v>
      </c>
      <c r="AF110" s="19">
        <v>43970</v>
      </c>
      <c r="AG110" s="19" t="s">
        <v>177</v>
      </c>
      <c r="AH110" s="31">
        <v>1</v>
      </c>
      <c r="AI110" s="31">
        <v>1</v>
      </c>
      <c r="AJ110" s="31">
        <v>1</v>
      </c>
      <c r="AK110" s="19" t="s">
        <v>151</v>
      </c>
      <c r="AL110" s="98" t="s">
        <v>61</v>
      </c>
      <c r="AM110" s="98" t="s">
        <v>61</v>
      </c>
      <c r="AN110" s="98" t="s">
        <v>61</v>
      </c>
    </row>
    <row r="111" spans="2:40" hidden="1" x14ac:dyDescent="0.25">
      <c r="B111" s="41">
        <f t="shared" si="21"/>
        <v>52</v>
      </c>
      <c r="C111" s="16">
        <v>20200519</v>
      </c>
      <c r="D111" s="15" t="s">
        <v>3</v>
      </c>
      <c r="E111" s="81" t="s">
        <v>219</v>
      </c>
      <c r="F111" s="74" t="s">
        <v>318</v>
      </c>
      <c r="G111" s="81">
        <v>1473546</v>
      </c>
      <c r="H111" s="52" t="s">
        <v>61</v>
      </c>
      <c r="I111" s="150" t="s">
        <v>295</v>
      </c>
      <c r="J111" s="52" t="s">
        <v>61</v>
      </c>
      <c r="K111" s="15" t="s">
        <v>147</v>
      </c>
      <c r="L111" s="15" t="s">
        <v>151</v>
      </c>
      <c r="M111" s="81" t="s">
        <v>220</v>
      </c>
      <c r="N111" s="15" t="s">
        <v>223</v>
      </c>
      <c r="O111" s="17" t="s">
        <v>61</v>
      </c>
      <c r="P111" s="17" t="s">
        <v>310</v>
      </c>
      <c r="Q111" s="18"/>
      <c r="R111" s="52" t="s">
        <v>61</v>
      </c>
      <c r="S111" s="15" t="s">
        <v>69</v>
      </c>
      <c r="T111" s="15"/>
      <c r="U111" s="15"/>
      <c r="V111" s="81">
        <v>33</v>
      </c>
      <c r="W111" s="15">
        <f t="shared" si="26"/>
        <v>33</v>
      </c>
      <c r="X111" s="15">
        <f t="shared" si="28"/>
        <v>33</v>
      </c>
      <c r="Y111" s="15">
        <f>ROUNDDOWN(W111/HLOOKUP(D111,Table!$C$3:$D$4,2,0)*8,2)</f>
        <v>0.57999999999999996</v>
      </c>
      <c r="Z111" s="15">
        <v>0.5</v>
      </c>
      <c r="AA111" s="15" t="s">
        <v>74</v>
      </c>
      <c r="AB111" s="19">
        <v>43973</v>
      </c>
      <c r="AC111" s="19">
        <v>43969</v>
      </c>
      <c r="AD111" s="19">
        <v>43973</v>
      </c>
      <c r="AE111" s="19">
        <v>43970</v>
      </c>
      <c r="AF111" s="19">
        <v>43970</v>
      </c>
      <c r="AG111" s="19" t="s">
        <v>177</v>
      </c>
      <c r="AH111" s="31">
        <v>1</v>
      </c>
      <c r="AI111" s="31">
        <v>1</v>
      </c>
      <c r="AJ111" s="31">
        <v>1</v>
      </c>
      <c r="AK111" s="19" t="s">
        <v>151</v>
      </c>
      <c r="AL111" s="98" t="s">
        <v>61</v>
      </c>
      <c r="AM111" s="98" t="s">
        <v>61</v>
      </c>
      <c r="AN111" s="98" t="s">
        <v>61</v>
      </c>
    </row>
    <row r="112" spans="2:40" hidden="1" x14ac:dyDescent="0.25">
      <c r="B112" s="41">
        <f t="shared" si="21"/>
        <v>53</v>
      </c>
      <c r="C112" s="16">
        <v>20200519</v>
      </c>
      <c r="D112" s="15" t="s">
        <v>3</v>
      </c>
      <c r="E112" s="81" t="s">
        <v>219</v>
      </c>
      <c r="F112" s="74" t="s">
        <v>318</v>
      </c>
      <c r="G112" s="81">
        <v>1473546</v>
      </c>
      <c r="H112" s="52" t="s">
        <v>61</v>
      </c>
      <c r="I112" s="81" t="s">
        <v>296</v>
      </c>
      <c r="J112" s="52" t="s">
        <v>61</v>
      </c>
      <c r="K112" s="15" t="s">
        <v>147</v>
      </c>
      <c r="L112" s="15" t="s">
        <v>151</v>
      </c>
      <c r="M112" s="81" t="s">
        <v>220</v>
      </c>
      <c r="N112" s="15" t="s">
        <v>223</v>
      </c>
      <c r="O112" s="17" t="s">
        <v>61</v>
      </c>
      <c r="P112" s="17" t="s">
        <v>310</v>
      </c>
      <c r="Q112" s="18"/>
      <c r="R112" s="52" t="s">
        <v>61</v>
      </c>
      <c r="S112" s="15" t="s">
        <v>70</v>
      </c>
      <c r="T112" s="15"/>
      <c r="U112" s="15"/>
      <c r="V112" s="81">
        <v>119</v>
      </c>
      <c r="W112" s="15">
        <f t="shared" si="26"/>
        <v>119</v>
      </c>
      <c r="X112" s="15">
        <f t="shared" si="28"/>
        <v>119</v>
      </c>
      <c r="Y112" s="15">
        <f>ROUNDDOWN(W112/HLOOKUP(D112,Table!$C$3:$D$4,2,0)*8,2)</f>
        <v>2.11</v>
      </c>
      <c r="Z112" s="15">
        <v>1</v>
      </c>
      <c r="AA112" s="15" t="s">
        <v>74</v>
      </c>
      <c r="AB112" s="19">
        <v>43973</v>
      </c>
      <c r="AC112" s="19">
        <v>43970</v>
      </c>
      <c r="AD112" s="19">
        <v>43973</v>
      </c>
      <c r="AE112" s="19">
        <v>43970</v>
      </c>
      <c r="AF112" s="19">
        <v>43970</v>
      </c>
      <c r="AG112" s="19" t="s">
        <v>177</v>
      </c>
      <c r="AH112" s="31">
        <v>1</v>
      </c>
      <c r="AI112" s="31">
        <v>1</v>
      </c>
      <c r="AJ112" s="31">
        <v>1</v>
      </c>
      <c r="AK112" s="19" t="s">
        <v>151</v>
      </c>
      <c r="AL112" s="98" t="s">
        <v>61</v>
      </c>
      <c r="AM112" s="98" t="s">
        <v>61</v>
      </c>
      <c r="AN112" s="98" t="s">
        <v>61</v>
      </c>
    </row>
    <row r="113" spans="2:40" hidden="1" x14ac:dyDescent="0.25">
      <c r="B113" s="41">
        <f t="shared" si="21"/>
        <v>54</v>
      </c>
      <c r="C113" s="16">
        <v>20200519</v>
      </c>
      <c r="D113" s="15" t="s">
        <v>3</v>
      </c>
      <c r="E113" s="81" t="s">
        <v>219</v>
      </c>
      <c r="F113" s="89" t="s">
        <v>332</v>
      </c>
      <c r="G113" s="109">
        <v>1473546</v>
      </c>
      <c r="H113" s="111" t="s">
        <v>61</v>
      </c>
      <c r="I113" s="109" t="s">
        <v>297</v>
      </c>
      <c r="J113" s="52" t="s">
        <v>61</v>
      </c>
      <c r="K113" s="15" t="s">
        <v>147</v>
      </c>
      <c r="L113" s="15" t="s">
        <v>151</v>
      </c>
      <c r="M113" s="81" t="s">
        <v>220</v>
      </c>
      <c r="N113" s="81" t="s">
        <v>223</v>
      </c>
      <c r="O113" s="17" t="s">
        <v>61</v>
      </c>
      <c r="P113" s="78" t="s">
        <v>310</v>
      </c>
      <c r="Q113" s="18"/>
      <c r="R113" s="52" t="s">
        <v>61</v>
      </c>
      <c r="S113" s="15" t="s">
        <v>68</v>
      </c>
      <c r="T113" s="15"/>
      <c r="U113" s="15"/>
      <c r="V113" s="81">
        <v>433</v>
      </c>
      <c r="W113" s="15">
        <f t="shared" si="26"/>
        <v>433</v>
      </c>
      <c r="X113" s="15">
        <f t="shared" si="28"/>
        <v>433</v>
      </c>
      <c r="Y113" s="15">
        <f>ROUNDDOWN(W113/HLOOKUP(D113,Table!$C$3:$D$4,2,0)*8,2)</f>
        <v>7.69</v>
      </c>
      <c r="Z113" s="15">
        <f>Y113</f>
        <v>7.69</v>
      </c>
      <c r="AA113" s="15" t="s">
        <v>74</v>
      </c>
      <c r="AB113" s="19">
        <v>43973</v>
      </c>
      <c r="AC113" s="19">
        <v>43970</v>
      </c>
      <c r="AD113" s="19">
        <v>43973</v>
      </c>
      <c r="AE113" s="19">
        <v>43970</v>
      </c>
      <c r="AF113" s="19">
        <v>43970</v>
      </c>
      <c r="AG113" s="19" t="s">
        <v>177</v>
      </c>
      <c r="AH113" s="31">
        <v>1</v>
      </c>
      <c r="AI113" s="31">
        <v>1</v>
      </c>
      <c r="AJ113" s="31">
        <v>1</v>
      </c>
      <c r="AK113" s="19" t="s">
        <v>151</v>
      </c>
      <c r="AL113" s="98" t="s">
        <v>61</v>
      </c>
      <c r="AM113" s="98" t="s">
        <v>61</v>
      </c>
      <c r="AN113" s="98" t="s">
        <v>61</v>
      </c>
    </row>
    <row r="114" spans="2:40" hidden="1" x14ac:dyDescent="0.25">
      <c r="B114" s="41">
        <f t="shared" si="21"/>
        <v>55</v>
      </c>
      <c r="C114" s="16">
        <v>20200519</v>
      </c>
      <c r="D114" s="15" t="s">
        <v>3</v>
      </c>
      <c r="E114" s="81" t="s">
        <v>287</v>
      </c>
      <c r="F114" s="74" t="s">
        <v>333</v>
      </c>
      <c r="G114" s="81">
        <v>1474054</v>
      </c>
      <c r="H114" s="52" t="s">
        <v>61</v>
      </c>
      <c r="I114" s="81" t="s">
        <v>189</v>
      </c>
      <c r="J114" s="52" t="s">
        <v>61</v>
      </c>
      <c r="K114" s="15" t="s">
        <v>185</v>
      </c>
      <c r="L114" s="81" t="s">
        <v>303</v>
      </c>
      <c r="M114" s="81" t="s">
        <v>151</v>
      </c>
      <c r="N114" s="81" t="s">
        <v>302</v>
      </c>
      <c r="O114" s="17" t="s">
        <v>61</v>
      </c>
      <c r="P114" s="78" t="s">
        <v>203</v>
      </c>
      <c r="Q114" s="18"/>
      <c r="R114" s="52" t="s">
        <v>61</v>
      </c>
      <c r="S114" s="15" t="s">
        <v>68</v>
      </c>
      <c r="T114" s="15"/>
      <c r="U114" s="15"/>
      <c r="V114" s="81">
        <v>96</v>
      </c>
      <c r="W114" s="15">
        <f t="shared" si="26"/>
        <v>96</v>
      </c>
      <c r="X114" s="15">
        <f>W114</f>
        <v>96</v>
      </c>
      <c r="Y114" s="15">
        <f>ROUNDDOWN(W114/HLOOKUP(D114,Table!$C$3:$D$4,2,0)*8,2)</f>
        <v>1.7</v>
      </c>
      <c r="Z114" s="15">
        <f>Y114</f>
        <v>1.7</v>
      </c>
      <c r="AA114" s="15" t="s">
        <v>21</v>
      </c>
      <c r="AB114" s="19">
        <v>43977</v>
      </c>
      <c r="AC114" s="19">
        <v>43970</v>
      </c>
      <c r="AD114" s="19">
        <v>43977</v>
      </c>
      <c r="AE114" s="19">
        <v>43971</v>
      </c>
      <c r="AF114" s="19">
        <v>43971</v>
      </c>
      <c r="AG114" s="19" t="s">
        <v>178</v>
      </c>
      <c r="AH114" s="31">
        <v>1</v>
      </c>
      <c r="AI114" s="31">
        <v>1</v>
      </c>
      <c r="AJ114" s="31">
        <v>1</v>
      </c>
      <c r="AK114" s="19" t="s">
        <v>140</v>
      </c>
      <c r="AL114" s="98"/>
      <c r="AM114" s="98"/>
      <c r="AN114" s="131" t="s">
        <v>366</v>
      </c>
    </row>
    <row r="115" spans="2:40" hidden="1" x14ac:dyDescent="0.25">
      <c r="B115" s="41">
        <f t="shared" si="21"/>
        <v>56</v>
      </c>
      <c r="C115" s="16">
        <v>20200519</v>
      </c>
      <c r="D115" s="15" t="s">
        <v>3</v>
      </c>
      <c r="E115" s="81" t="s">
        <v>287</v>
      </c>
      <c r="F115" s="74" t="s">
        <v>334</v>
      </c>
      <c r="G115" s="81">
        <v>1474054</v>
      </c>
      <c r="H115" s="52" t="s">
        <v>61</v>
      </c>
      <c r="I115" s="81" t="s">
        <v>187</v>
      </c>
      <c r="J115" s="52" t="s">
        <v>61</v>
      </c>
      <c r="K115" s="15" t="s">
        <v>185</v>
      </c>
      <c r="L115" s="15" t="s">
        <v>303</v>
      </c>
      <c r="M115" s="81" t="s">
        <v>151</v>
      </c>
      <c r="N115" s="15" t="s">
        <v>302</v>
      </c>
      <c r="O115" s="17" t="s">
        <v>61</v>
      </c>
      <c r="P115" s="17" t="s">
        <v>203</v>
      </c>
      <c r="Q115" s="18"/>
      <c r="R115" s="52" t="s">
        <v>61</v>
      </c>
      <c r="S115" s="15" t="s">
        <v>70</v>
      </c>
      <c r="T115" s="15"/>
      <c r="U115" s="15"/>
      <c r="V115" s="81">
        <v>54</v>
      </c>
      <c r="W115" s="15">
        <f t="shared" si="26"/>
        <v>54</v>
      </c>
      <c r="X115" s="15">
        <f>W115</f>
        <v>54</v>
      </c>
      <c r="Y115" s="15">
        <f>ROUNDDOWN(W115/HLOOKUP(D115,Table!$C$3:$D$4,2,0)*8,2)</f>
        <v>0.96</v>
      </c>
      <c r="Z115" s="15">
        <v>0.5</v>
      </c>
      <c r="AA115" s="15" t="s">
        <v>21</v>
      </c>
      <c r="AB115" s="19">
        <v>43977</v>
      </c>
      <c r="AC115" s="19">
        <v>43970</v>
      </c>
      <c r="AD115" s="19">
        <v>43977</v>
      </c>
      <c r="AE115" s="19">
        <v>43971</v>
      </c>
      <c r="AF115" s="19">
        <v>43971</v>
      </c>
      <c r="AG115" s="19" t="s">
        <v>177</v>
      </c>
      <c r="AH115" s="31">
        <v>1</v>
      </c>
      <c r="AI115" s="31">
        <v>1</v>
      </c>
      <c r="AJ115" s="31">
        <v>1</v>
      </c>
      <c r="AK115" s="19" t="s">
        <v>151</v>
      </c>
      <c r="AL115" s="98" t="s">
        <v>61</v>
      </c>
      <c r="AM115" s="98" t="s">
        <v>61</v>
      </c>
      <c r="AN115" s="122" t="s">
        <v>61</v>
      </c>
    </row>
    <row r="116" spans="2:40" x14ac:dyDescent="0.25">
      <c r="B116" s="41">
        <f t="shared" si="21"/>
        <v>57</v>
      </c>
      <c r="C116" s="16">
        <v>20200519</v>
      </c>
      <c r="D116" s="15" t="s">
        <v>3</v>
      </c>
      <c r="E116" s="81" t="s">
        <v>287</v>
      </c>
      <c r="F116" s="74" t="s">
        <v>335</v>
      </c>
      <c r="G116" s="81">
        <v>1474054</v>
      </c>
      <c r="H116" s="52" t="s">
        <v>61</v>
      </c>
      <c r="I116" s="81" t="s">
        <v>157</v>
      </c>
      <c r="J116" s="52" t="s">
        <v>61</v>
      </c>
      <c r="K116" s="15" t="s">
        <v>185</v>
      </c>
      <c r="L116" s="15" t="s">
        <v>303</v>
      </c>
      <c r="M116" s="81" t="s">
        <v>151</v>
      </c>
      <c r="N116" s="15" t="s">
        <v>302</v>
      </c>
      <c r="O116" s="17" t="s">
        <v>61</v>
      </c>
      <c r="P116" s="17" t="s">
        <v>203</v>
      </c>
      <c r="Q116" s="18"/>
      <c r="R116" s="52" t="s">
        <v>61</v>
      </c>
      <c r="S116" s="15" t="s">
        <v>143</v>
      </c>
      <c r="T116" s="15"/>
      <c r="U116" s="15"/>
      <c r="V116" s="81">
        <v>145</v>
      </c>
      <c r="W116" s="85">
        <v>355</v>
      </c>
      <c r="X116" s="15">
        <f>W116</f>
        <v>355</v>
      </c>
      <c r="Y116" s="15">
        <f>ROUNDDOWN(W116/HLOOKUP(D116,Table!$C$3:$D$4,2,0)*8,2)</f>
        <v>6.31</v>
      </c>
      <c r="Z116" s="15">
        <v>4</v>
      </c>
      <c r="AA116" s="15" t="s">
        <v>21</v>
      </c>
      <c r="AB116" s="19">
        <v>43977</v>
      </c>
      <c r="AC116" s="19">
        <v>43970</v>
      </c>
      <c r="AD116" s="19">
        <v>43977</v>
      </c>
      <c r="AE116" s="19">
        <v>43973</v>
      </c>
      <c r="AF116" s="19">
        <v>43976</v>
      </c>
      <c r="AG116" s="19" t="s">
        <v>178</v>
      </c>
      <c r="AH116" s="31">
        <v>1</v>
      </c>
      <c r="AI116" s="31">
        <v>0.91</v>
      </c>
      <c r="AJ116" s="31">
        <v>0.43</v>
      </c>
      <c r="AK116" s="19" t="s">
        <v>140</v>
      </c>
      <c r="AL116" s="144" t="s">
        <v>488</v>
      </c>
      <c r="AM116" s="113" t="s">
        <v>61</v>
      </c>
      <c r="AN116" s="144" t="s">
        <v>606</v>
      </c>
    </row>
    <row r="117" spans="2:40" hidden="1" x14ac:dyDescent="0.25">
      <c r="B117" s="41">
        <f t="shared" si="21"/>
        <v>58</v>
      </c>
      <c r="C117" s="16">
        <v>20200519</v>
      </c>
      <c r="D117" s="15" t="s">
        <v>3</v>
      </c>
      <c r="E117" s="81" t="s">
        <v>287</v>
      </c>
      <c r="F117" s="74" t="s">
        <v>335</v>
      </c>
      <c r="G117" s="81">
        <v>1474054</v>
      </c>
      <c r="H117" s="52" t="s">
        <v>61</v>
      </c>
      <c r="I117" s="81" t="s">
        <v>155</v>
      </c>
      <c r="J117" s="52" t="s">
        <v>61</v>
      </c>
      <c r="K117" s="15" t="s">
        <v>185</v>
      </c>
      <c r="L117" s="15" t="s">
        <v>303</v>
      </c>
      <c r="M117" s="81" t="s">
        <v>151</v>
      </c>
      <c r="N117" s="15" t="s">
        <v>302</v>
      </c>
      <c r="O117" s="17" t="s">
        <v>61</v>
      </c>
      <c r="P117" s="17" t="s">
        <v>203</v>
      </c>
      <c r="Q117" s="18"/>
      <c r="R117" s="52" t="s">
        <v>61</v>
      </c>
      <c r="S117" s="15" t="s">
        <v>69</v>
      </c>
      <c r="T117" s="15"/>
      <c r="U117" s="15"/>
      <c r="V117" s="81">
        <v>124</v>
      </c>
      <c r="W117" s="15">
        <f t="shared" si="26"/>
        <v>124</v>
      </c>
      <c r="X117" s="15">
        <f t="shared" ref="X117:X122" si="29">W117</f>
        <v>124</v>
      </c>
      <c r="Y117" s="15">
        <f>ROUNDDOWN(W117/HLOOKUP(D117,Table!$C$3:$D$4,2,0)*8,2)</f>
        <v>2.2000000000000002</v>
      </c>
      <c r="Z117" s="15">
        <v>2</v>
      </c>
      <c r="AA117" s="15" t="s">
        <v>21</v>
      </c>
      <c r="AB117" s="19">
        <v>43977</v>
      </c>
      <c r="AC117" s="19">
        <v>43970</v>
      </c>
      <c r="AD117" s="19">
        <v>43977</v>
      </c>
      <c r="AE117" s="19">
        <v>43970</v>
      </c>
      <c r="AF117" s="19">
        <v>43970</v>
      </c>
      <c r="AG117" s="19" t="s">
        <v>178</v>
      </c>
      <c r="AH117" s="31">
        <v>1</v>
      </c>
      <c r="AI117" s="31">
        <v>1</v>
      </c>
      <c r="AJ117" s="31">
        <v>0.75</v>
      </c>
      <c r="AK117" s="19" t="s">
        <v>140</v>
      </c>
      <c r="AL117" s="98" t="s">
        <v>314</v>
      </c>
      <c r="AM117" s="98"/>
      <c r="AN117" s="98"/>
    </row>
    <row r="118" spans="2:40" hidden="1" x14ac:dyDescent="0.25">
      <c r="B118" s="41">
        <f t="shared" si="21"/>
        <v>59</v>
      </c>
      <c r="C118" s="16">
        <v>20200519</v>
      </c>
      <c r="D118" s="15" t="s">
        <v>3</v>
      </c>
      <c r="E118" s="81" t="s">
        <v>287</v>
      </c>
      <c r="F118" s="74" t="s">
        <v>335</v>
      </c>
      <c r="G118" s="81">
        <v>1474054</v>
      </c>
      <c r="H118" s="52" t="s">
        <v>61</v>
      </c>
      <c r="I118" s="81" t="s">
        <v>156</v>
      </c>
      <c r="J118" s="52" t="s">
        <v>61</v>
      </c>
      <c r="K118" s="15" t="s">
        <v>185</v>
      </c>
      <c r="L118" s="15" t="s">
        <v>303</v>
      </c>
      <c r="M118" s="81" t="s">
        <v>151</v>
      </c>
      <c r="N118" s="15" t="s">
        <v>302</v>
      </c>
      <c r="O118" s="17" t="s">
        <v>61</v>
      </c>
      <c r="P118" s="17" t="s">
        <v>203</v>
      </c>
      <c r="Q118" s="18"/>
      <c r="R118" s="52" t="s">
        <v>61</v>
      </c>
      <c r="S118" s="15" t="s">
        <v>69</v>
      </c>
      <c r="T118" s="15"/>
      <c r="U118" s="15"/>
      <c r="V118" s="81">
        <v>71</v>
      </c>
      <c r="W118" s="15">
        <f t="shared" si="26"/>
        <v>71</v>
      </c>
      <c r="X118" s="15">
        <f t="shared" si="29"/>
        <v>71</v>
      </c>
      <c r="Y118" s="15">
        <f>ROUNDDOWN(W118/HLOOKUP(D118,Table!$C$3:$D$4,2,0)*8,2)</f>
        <v>1.26</v>
      </c>
      <c r="Z118" s="15">
        <v>1</v>
      </c>
      <c r="AA118" s="15" t="s">
        <v>21</v>
      </c>
      <c r="AB118" s="19">
        <v>43977</v>
      </c>
      <c r="AC118" s="19">
        <v>43970</v>
      </c>
      <c r="AD118" s="19">
        <v>43977</v>
      </c>
      <c r="AE118" s="19">
        <v>43971</v>
      </c>
      <c r="AF118" s="19">
        <v>43971</v>
      </c>
      <c r="AG118" s="19" t="s">
        <v>178</v>
      </c>
      <c r="AH118" s="31">
        <v>0.89</v>
      </c>
      <c r="AI118" s="31">
        <v>0.78</v>
      </c>
      <c r="AJ118" s="31">
        <v>1</v>
      </c>
      <c r="AK118" s="19" t="s">
        <v>140</v>
      </c>
      <c r="AL118" s="15" t="s">
        <v>356</v>
      </c>
      <c r="AM118" s="98"/>
      <c r="AN118" s="98"/>
    </row>
    <row r="119" spans="2:40" hidden="1" x14ac:dyDescent="0.25">
      <c r="B119" s="41">
        <f t="shared" si="21"/>
        <v>60</v>
      </c>
      <c r="C119" s="16">
        <v>20200519</v>
      </c>
      <c r="D119" s="15" t="s">
        <v>3</v>
      </c>
      <c r="E119" s="81" t="s">
        <v>287</v>
      </c>
      <c r="F119" s="74" t="s">
        <v>336</v>
      </c>
      <c r="G119" s="81">
        <v>1474054</v>
      </c>
      <c r="H119" s="52" t="s">
        <v>61</v>
      </c>
      <c r="I119" s="81" t="s">
        <v>222</v>
      </c>
      <c r="J119" s="52" t="s">
        <v>61</v>
      </c>
      <c r="K119" s="15" t="s">
        <v>185</v>
      </c>
      <c r="L119" s="15" t="s">
        <v>303</v>
      </c>
      <c r="M119" s="81" t="s">
        <v>151</v>
      </c>
      <c r="N119" s="15" t="s">
        <v>302</v>
      </c>
      <c r="O119" s="17" t="s">
        <v>61</v>
      </c>
      <c r="P119" s="17" t="s">
        <v>203</v>
      </c>
      <c r="Q119" s="18"/>
      <c r="R119" s="52" t="s">
        <v>61</v>
      </c>
      <c r="S119" s="15" t="s">
        <v>67</v>
      </c>
      <c r="T119" s="15"/>
      <c r="U119" s="15"/>
      <c r="V119" s="81">
        <v>200</v>
      </c>
      <c r="W119" s="85">
        <v>210</v>
      </c>
      <c r="X119" s="15">
        <f t="shared" si="29"/>
        <v>210</v>
      </c>
      <c r="Y119" s="15">
        <f>ROUNDDOWN(W119/HLOOKUP(D119,Table!$C$3:$D$4,2,0)*8,2)</f>
        <v>3.73</v>
      </c>
      <c r="Z119" s="15">
        <v>2</v>
      </c>
      <c r="AA119" s="15" t="s">
        <v>21</v>
      </c>
      <c r="AB119" s="19">
        <v>43977</v>
      </c>
      <c r="AC119" s="19">
        <v>43970</v>
      </c>
      <c r="AD119" s="19">
        <v>43977</v>
      </c>
      <c r="AE119" s="19">
        <v>43973</v>
      </c>
      <c r="AF119" s="19">
        <v>43973</v>
      </c>
      <c r="AG119" s="19" t="s">
        <v>177</v>
      </c>
      <c r="AH119" s="31">
        <v>1</v>
      </c>
      <c r="AI119" s="31">
        <v>1</v>
      </c>
      <c r="AJ119" s="31">
        <v>1</v>
      </c>
      <c r="AK119" s="19" t="s">
        <v>151</v>
      </c>
      <c r="AL119" s="113" t="s">
        <v>61</v>
      </c>
      <c r="AM119" s="113" t="s">
        <v>61</v>
      </c>
      <c r="AN119" s="113" t="s">
        <v>61</v>
      </c>
    </row>
    <row r="120" spans="2:40" hidden="1" x14ac:dyDescent="0.25">
      <c r="B120" s="41">
        <f t="shared" si="21"/>
        <v>61</v>
      </c>
      <c r="C120" s="16">
        <v>20200519</v>
      </c>
      <c r="D120" s="15" t="s">
        <v>3</v>
      </c>
      <c r="E120" s="81" t="s">
        <v>287</v>
      </c>
      <c r="F120" s="74" t="s">
        <v>337</v>
      </c>
      <c r="G120" s="81">
        <v>1474054</v>
      </c>
      <c r="H120" s="52" t="s">
        <v>61</v>
      </c>
      <c r="I120" s="81" t="s">
        <v>221</v>
      </c>
      <c r="J120" s="52" t="s">
        <v>61</v>
      </c>
      <c r="K120" s="15" t="s">
        <v>185</v>
      </c>
      <c r="L120" s="15" t="s">
        <v>303</v>
      </c>
      <c r="M120" s="81" t="s">
        <v>151</v>
      </c>
      <c r="N120" s="15" t="s">
        <v>302</v>
      </c>
      <c r="O120" s="17" t="s">
        <v>61</v>
      </c>
      <c r="P120" s="17" t="s">
        <v>203</v>
      </c>
      <c r="Q120" s="18"/>
      <c r="R120" s="52" t="s">
        <v>61</v>
      </c>
      <c r="S120" s="15" t="s">
        <v>67</v>
      </c>
      <c r="T120" s="15"/>
      <c r="U120" s="15"/>
      <c r="V120" s="81">
        <v>134</v>
      </c>
      <c r="W120" s="85">
        <v>146</v>
      </c>
      <c r="X120" s="15">
        <f t="shared" si="29"/>
        <v>146</v>
      </c>
      <c r="Y120" s="15">
        <f>ROUNDDOWN(W120/HLOOKUP(D120,Table!$C$3:$D$4,2,0)*8,2)</f>
        <v>2.59</v>
      </c>
      <c r="Z120" s="15">
        <v>2</v>
      </c>
      <c r="AA120" s="15" t="s">
        <v>21</v>
      </c>
      <c r="AB120" s="19">
        <v>43977</v>
      </c>
      <c r="AC120" s="19">
        <v>43970</v>
      </c>
      <c r="AD120" s="19">
        <v>43977</v>
      </c>
      <c r="AE120" s="19">
        <v>43976</v>
      </c>
      <c r="AF120" s="19">
        <v>43976</v>
      </c>
      <c r="AG120" s="19" t="s">
        <v>177</v>
      </c>
      <c r="AH120" s="31">
        <v>1</v>
      </c>
      <c r="AI120" s="31">
        <v>1</v>
      </c>
      <c r="AJ120" s="31">
        <v>1</v>
      </c>
      <c r="AK120" s="19" t="s">
        <v>151</v>
      </c>
      <c r="AL120" s="113" t="s">
        <v>61</v>
      </c>
      <c r="AM120" s="113" t="s">
        <v>61</v>
      </c>
      <c r="AN120" s="113" t="s">
        <v>61</v>
      </c>
    </row>
    <row r="121" spans="2:40" hidden="1" x14ac:dyDescent="0.25">
      <c r="B121" s="41">
        <f t="shared" si="21"/>
        <v>62</v>
      </c>
      <c r="C121" s="16">
        <v>20200519</v>
      </c>
      <c r="D121" s="15" t="s">
        <v>3</v>
      </c>
      <c r="E121" s="81" t="s">
        <v>287</v>
      </c>
      <c r="F121" s="74" t="s">
        <v>390</v>
      </c>
      <c r="G121" s="81">
        <v>1474054</v>
      </c>
      <c r="H121" s="52" t="s">
        <v>61</v>
      </c>
      <c r="I121" s="81" t="s">
        <v>188</v>
      </c>
      <c r="J121" s="52" t="s">
        <v>61</v>
      </c>
      <c r="K121" s="15" t="s">
        <v>185</v>
      </c>
      <c r="L121" s="15" t="s">
        <v>303</v>
      </c>
      <c r="M121" s="81" t="s">
        <v>151</v>
      </c>
      <c r="N121" s="15" t="s">
        <v>302</v>
      </c>
      <c r="O121" s="17" t="s">
        <v>61</v>
      </c>
      <c r="P121" s="17" t="s">
        <v>203</v>
      </c>
      <c r="Q121" s="18"/>
      <c r="R121" s="52" t="s">
        <v>61</v>
      </c>
      <c r="S121" s="15" t="s">
        <v>69</v>
      </c>
      <c r="T121" s="15"/>
      <c r="U121" s="15"/>
      <c r="V121" s="81">
        <v>39</v>
      </c>
      <c r="W121" s="15">
        <f t="shared" si="26"/>
        <v>39</v>
      </c>
      <c r="X121" s="15">
        <f t="shared" si="29"/>
        <v>39</v>
      </c>
      <c r="Y121" s="15">
        <f>ROUNDDOWN(W121/HLOOKUP(D121,Table!$C$3:$D$4,2,0)*8,2)</f>
        <v>0.69</v>
      </c>
      <c r="Z121" s="15">
        <v>0.5</v>
      </c>
      <c r="AA121" s="15" t="s">
        <v>21</v>
      </c>
      <c r="AB121" s="19">
        <v>43977</v>
      </c>
      <c r="AC121" s="19">
        <v>43970</v>
      </c>
      <c r="AD121" s="19">
        <v>43977</v>
      </c>
      <c r="AE121" s="19">
        <v>43971</v>
      </c>
      <c r="AF121" s="19">
        <v>43971</v>
      </c>
      <c r="AG121" s="19" t="s">
        <v>178</v>
      </c>
      <c r="AH121" s="31">
        <v>0.64</v>
      </c>
      <c r="AI121" s="31">
        <v>1</v>
      </c>
      <c r="AJ121" s="31">
        <v>1</v>
      </c>
      <c r="AK121" s="19" t="s">
        <v>140</v>
      </c>
      <c r="AL121" s="15" t="s">
        <v>357</v>
      </c>
      <c r="AM121" s="98"/>
      <c r="AN121" s="98"/>
    </row>
    <row r="122" spans="2:40" hidden="1" x14ac:dyDescent="0.25">
      <c r="B122" s="41">
        <f t="shared" si="21"/>
        <v>63</v>
      </c>
      <c r="C122" s="16">
        <v>20200519</v>
      </c>
      <c r="D122" s="15" t="s">
        <v>3</v>
      </c>
      <c r="E122" s="81" t="s">
        <v>287</v>
      </c>
      <c r="F122" s="74" t="s">
        <v>338</v>
      </c>
      <c r="G122" s="81">
        <v>1474054</v>
      </c>
      <c r="H122" s="52" t="s">
        <v>61</v>
      </c>
      <c r="I122" s="81" t="s">
        <v>186</v>
      </c>
      <c r="J122" s="52" t="s">
        <v>61</v>
      </c>
      <c r="K122" s="15" t="s">
        <v>185</v>
      </c>
      <c r="L122" s="15" t="s">
        <v>303</v>
      </c>
      <c r="M122" s="81" t="s">
        <v>151</v>
      </c>
      <c r="N122" s="81" t="s">
        <v>302</v>
      </c>
      <c r="O122" s="17" t="s">
        <v>61</v>
      </c>
      <c r="P122" s="17" t="s">
        <v>203</v>
      </c>
      <c r="Q122" s="18"/>
      <c r="R122" s="52" t="s">
        <v>61</v>
      </c>
      <c r="S122" s="15" t="s">
        <v>70</v>
      </c>
      <c r="T122" s="15"/>
      <c r="U122" s="15"/>
      <c r="V122" s="81">
        <v>82</v>
      </c>
      <c r="W122" s="15">
        <f t="shared" si="26"/>
        <v>82</v>
      </c>
      <c r="X122" s="15">
        <f t="shared" si="29"/>
        <v>82</v>
      </c>
      <c r="Y122" s="15">
        <f>ROUNDDOWN(W122/HLOOKUP(D122,Table!$C$3:$D$4,2,0)*8,2)</f>
        <v>1.45</v>
      </c>
      <c r="Z122" s="15">
        <v>1</v>
      </c>
      <c r="AA122" s="15" t="s">
        <v>21</v>
      </c>
      <c r="AB122" s="19">
        <v>43977</v>
      </c>
      <c r="AC122" s="19">
        <v>43970</v>
      </c>
      <c r="AD122" s="19">
        <v>43977</v>
      </c>
      <c r="AE122" s="19">
        <v>43971</v>
      </c>
      <c r="AF122" s="19">
        <v>43971</v>
      </c>
      <c r="AG122" s="19" t="s">
        <v>177</v>
      </c>
      <c r="AH122" s="31">
        <v>1</v>
      </c>
      <c r="AI122" s="31">
        <v>1</v>
      </c>
      <c r="AJ122" s="31">
        <v>1</v>
      </c>
      <c r="AK122" s="19" t="s">
        <v>151</v>
      </c>
      <c r="AL122" s="98" t="s">
        <v>61</v>
      </c>
      <c r="AM122" s="98" t="s">
        <v>61</v>
      </c>
      <c r="AN122" s="98" t="s">
        <v>61</v>
      </c>
    </row>
    <row r="123" spans="2:40" hidden="1" x14ac:dyDescent="0.25">
      <c r="B123" s="41">
        <f t="shared" si="21"/>
        <v>64</v>
      </c>
      <c r="C123" s="16">
        <v>20200519</v>
      </c>
      <c r="D123" s="15" t="s">
        <v>2</v>
      </c>
      <c r="E123" s="81" t="s">
        <v>219</v>
      </c>
      <c r="F123" s="161" t="s">
        <v>61</v>
      </c>
      <c r="G123" s="81">
        <v>1474071</v>
      </c>
      <c r="H123" s="52" t="s">
        <v>61</v>
      </c>
      <c r="I123" s="81" t="s">
        <v>298</v>
      </c>
      <c r="J123" s="52" t="s">
        <v>61</v>
      </c>
      <c r="K123" s="15" t="s">
        <v>147</v>
      </c>
      <c r="L123" s="15" t="s">
        <v>151</v>
      </c>
      <c r="M123" s="81" t="s">
        <v>220</v>
      </c>
      <c r="N123" s="81" t="s">
        <v>305</v>
      </c>
      <c r="O123" s="81">
        <v>1.2</v>
      </c>
      <c r="P123" s="78" t="s">
        <v>311</v>
      </c>
      <c r="Q123" s="18"/>
      <c r="R123" s="52" t="s">
        <v>61</v>
      </c>
      <c r="S123" s="15" t="s">
        <v>67</v>
      </c>
      <c r="T123" s="15"/>
      <c r="U123" s="15"/>
      <c r="V123" s="15">
        <v>20</v>
      </c>
      <c r="W123" s="15">
        <f t="shared" si="26"/>
        <v>20</v>
      </c>
      <c r="X123" s="15">
        <f>W123</f>
        <v>20</v>
      </c>
      <c r="Y123" s="15">
        <f>ROUNDDOWN(W123/HLOOKUP(D123,Table!$C$3:$D$4,2,0)*8,2)</f>
        <v>1.23</v>
      </c>
      <c r="Z123" s="15">
        <v>1</v>
      </c>
      <c r="AA123" s="15" t="s">
        <v>21</v>
      </c>
      <c r="AB123" s="19">
        <v>43977</v>
      </c>
      <c r="AC123" s="19">
        <v>43970</v>
      </c>
      <c r="AD123" s="19">
        <v>43977</v>
      </c>
      <c r="AE123" s="19">
        <v>43976</v>
      </c>
      <c r="AF123" s="19">
        <v>43976</v>
      </c>
      <c r="AG123" s="19" t="s">
        <v>178</v>
      </c>
      <c r="AH123" s="31">
        <v>1</v>
      </c>
      <c r="AI123" s="31">
        <v>1</v>
      </c>
      <c r="AJ123" s="31">
        <v>0.875</v>
      </c>
      <c r="AK123" s="19" t="s">
        <v>140</v>
      </c>
      <c r="AL123" s="144" t="s">
        <v>485</v>
      </c>
      <c r="AM123" s="113" t="s">
        <v>61</v>
      </c>
      <c r="AN123" s="144" t="s">
        <v>723</v>
      </c>
    </row>
    <row r="124" spans="2:40" hidden="1" x14ac:dyDescent="0.25">
      <c r="B124" s="41">
        <f t="shared" si="21"/>
        <v>65</v>
      </c>
      <c r="C124" s="16">
        <v>20200519</v>
      </c>
      <c r="D124" s="15" t="s">
        <v>2</v>
      </c>
      <c r="E124" s="81" t="s">
        <v>219</v>
      </c>
      <c r="F124" s="161" t="s">
        <v>61</v>
      </c>
      <c r="G124" s="81">
        <v>1475589</v>
      </c>
      <c r="H124" s="52"/>
      <c r="I124" s="81" t="s">
        <v>418</v>
      </c>
      <c r="J124" s="52"/>
      <c r="K124" s="15" t="s">
        <v>147</v>
      </c>
      <c r="L124" s="15" t="s">
        <v>151</v>
      </c>
      <c r="M124" s="81" t="s">
        <v>220</v>
      </c>
      <c r="N124" s="81" t="s">
        <v>419</v>
      </c>
      <c r="O124" s="17">
        <v>1.1000000000000001</v>
      </c>
      <c r="P124" s="78" t="s">
        <v>312</v>
      </c>
      <c r="Q124" s="18"/>
      <c r="R124" s="52" t="s">
        <v>61</v>
      </c>
      <c r="S124" s="15" t="s">
        <v>67</v>
      </c>
      <c r="T124" s="15"/>
      <c r="U124" s="15"/>
      <c r="V124" s="81">
        <v>16</v>
      </c>
      <c r="W124" s="15">
        <f t="shared" si="26"/>
        <v>16</v>
      </c>
      <c r="X124" s="15">
        <f t="shared" ref="X124:X126" si="30">W124</f>
        <v>16</v>
      </c>
      <c r="Y124" s="15">
        <f>ROUNDDOWN(W124/HLOOKUP(D124,Table!$C$3:$D$4,2,0)*8,2)</f>
        <v>0.98</v>
      </c>
      <c r="Z124" s="15">
        <v>1</v>
      </c>
      <c r="AA124" s="15" t="s">
        <v>21</v>
      </c>
      <c r="AB124" s="19">
        <v>43977</v>
      </c>
      <c r="AC124" s="19">
        <v>43970</v>
      </c>
      <c r="AD124" s="19">
        <v>43977</v>
      </c>
      <c r="AE124" s="19">
        <v>43973</v>
      </c>
      <c r="AF124" s="19">
        <v>43973</v>
      </c>
      <c r="AG124" s="19" t="s">
        <v>177</v>
      </c>
      <c r="AH124" s="31">
        <v>1</v>
      </c>
      <c r="AI124" s="31">
        <v>1</v>
      </c>
      <c r="AJ124" s="31">
        <v>1</v>
      </c>
      <c r="AK124" s="19" t="s">
        <v>151</v>
      </c>
      <c r="AL124" s="113" t="s">
        <v>61</v>
      </c>
      <c r="AM124" s="113" t="s">
        <v>61</v>
      </c>
      <c r="AN124" s="113" t="s">
        <v>61</v>
      </c>
    </row>
    <row r="125" spans="2:40" hidden="1" x14ac:dyDescent="0.25">
      <c r="B125" s="41">
        <f t="shared" si="21"/>
        <v>66</v>
      </c>
      <c r="C125" s="16">
        <v>20200519</v>
      </c>
      <c r="D125" s="15" t="s">
        <v>2</v>
      </c>
      <c r="E125" s="81" t="s">
        <v>219</v>
      </c>
      <c r="F125" s="161" t="s">
        <v>61</v>
      </c>
      <c r="G125" s="81">
        <v>1475589</v>
      </c>
      <c r="H125" s="52" t="s">
        <v>61</v>
      </c>
      <c r="I125" s="81" t="s">
        <v>299</v>
      </c>
      <c r="J125" s="52" t="s">
        <v>61</v>
      </c>
      <c r="K125" s="15" t="s">
        <v>147</v>
      </c>
      <c r="L125" s="15" t="s">
        <v>151</v>
      </c>
      <c r="M125" s="81" t="s">
        <v>220</v>
      </c>
      <c r="N125" s="81" t="s">
        <v>306</v>
      </c>
      <c r="O125" s="78" t="s">
        <v>308</v>
      </c>
      <c r="P125" s="78" t="s">
        <v>312</v>
      </c>
      <c r="Q125" s="18"/>
      <c r="R125" s="52" t="s">
        <v>61</v>
      </c>
      <c r="S125" s="15" t="s">
        <v>69</v>
      </c>
      <c r="T125" s="15"/>
      <c r="U125" s="15"/>
      <c r="V125" s="15">
        <v>10</v>
      </c>
      <c r="W125" s="15">
        <f t="shared" si="26"/>
        <v>10</v>
      </c>
      <c r="X125" s="15">
        <f t="shared" si="30"/>
        <v>10</v>
      </c>
      <c r="Y125" s="15">
        <f>ROUNDDOWN(W125/HLOOKUP(D125,Table!$C$3:$D$4,2,0)*8,2)</f>
        <v>0.61</v>
      </c>
      <c r="Z125" s="15">
        <v>0.5</v>
      </c>
      <c r="AA125" s="15" t="s">
        <v>21</v>
      </c>
      <c r="AB125" s="19">
        <v>43977</v>
      </c>
      <c r="AC125" s="19">
        <v>43970</v>
      </c>
      <c r="AD125" s="19">
        <v>43977</v>
      </c>
      <c r="AE125" s="19">
        <v>43971</v>
      </c>
      <c r="AF125" s="19">
        <v>43971</v>
      </c>
      <c r="AG125" s="19" t="s">
        <v>178</v>
      </c>
      <c r="AH125" s="31">
        <v>0.83</v>
      </c>
      <c r="AI125" s="31">
        <v>0.83</v>
      </c>
      <c r="AJ125" s="31">
        <v>0.71</v>
      </c>
      <c r="AK125" s="19" t="s">
        <v>151</v>
      </c>
      <c r="AL125" s="15" t="s">
        <v>373</v>
      </c>
      <c r="AM125" s="98"/>
      <c r="AN125" s="98"/>
    </row>
    <row r="126" spans="2:40" hidden="1" x14ac:dyDescent="0.25">
      <c r="B126" s="41">
        <f t="shared" ref="B126:B182" si="31">B125+1</f>
        <v>67</v>
      </c>
      <c r="C126" s="16">
        <v>20200519</v>
      </c>
      <c r="D126" s="15" t="s">
        <v>2</v>
      </c>
      <c r="E126" s="81" t="s">
        <v>219</v>
      </c>
      <c r="F126" s="161" t="s">
        <v>61</v>
      </c>
      <c r="G126" s="81">
        <v>1475589</v>
      </c>
      <c r="H126" s="52" t="s">
        <v>61</v>
      </c>
      <c r="I126" s="81" t="s">
        <v>300</v>
      </c>
      <c r="J126" s="52" t="s">
        <v>61</v>
      </c>
      <c r="K126" s="15" t="s">
        <v>147</v>
      </c>
      <c r="L126" s="15" t="s">
        <v>151</v>
      </c>
      <c r="M126" s="81" t="s">
        <v>220</v>
      </c>
      <c r="N126" s="81" t="s">
        <v>307</v>
      </c>
      <c r="O126" s="81">
        <v>1</v>
      </c>
      <c r="P126" s="78" t="s">
        <v>312</v>
      </c>
      <c r="Q126" s="18"/>
      <c r="R126" s="52" t="s">
        <v>61</v>
      </c>
      <c r="S126" s="15" t="s">
        <v>70</v>
      </c>
      <c r="T126" s="15"/>
      <c r="U126" s="15"/>
      <c r="V126" s="15">
        <v>11</v>
      </c>
      <c r="W126" s="15">
        <f t="shared" si="26"/>
        <v>11</v>
      </c>
      <c r="X126" s="15">
        <f t="shared" si="30"/>
        <v>11</v>
      </c>
      <c r="Y126" s="15">
        <f>ROUNDDOWN(W126/HLOOKUP(D126,Table!$C$3:$D$4,2,0)*8,2)</f>
        <v>0.67</v>
      </c>
      <c r="Z126" s="15">
        <v>0.5</v>
      </c>
      <c r="AA126" s="15" t="s">
        <v>21</v>
      </c>
      <c r="AB126" s="19">
        <v>43977</v>
      </c>
      <c r="AC126" s="19">
        <v>43970</v>
      </c>
      <c r="AD126" s="19">
        <v>43977</v>
      </c>
      <c r="AE126" s="19">
        <v>43971</v>
      </c>
      <c r="AF126" s="19">
        <v>43971</v>
      </c>
      <c r="AG126" s="19" t="s">
        <v>178</v>
      </c>
      <c r="AH126" s="31">
        <v>1</v>
      </c>
      <c r="AI126" s="31">
        <v>0.85699999999999998</v>
      </c>
      <c r="AJ126" s="31" t="s">
        <v>20</v>
      </c>
      <c r="AK126" s="19" t="s">
        <v>151</v>
      </c>
      <c r="AL126" s="113" t="s">
        <v>372</v>
      </c>
      <c r="AM126" s="98" t="s">
        <v>61</v>
      </c>
      <c r="AN126" s="98" t="s">
        <v>61</v>
      </c>
    </row>
    <row r="127" spans="2:40" x14ac:dyDescent="0.25">
      <c r="B127" s="94">
        <f t="shared" si="31"/>
        <v>68</v>
      </c>
      <c r="C127" s="16">
        <v>20200520</v>
      </c>
      <c r="D127" s="15" t="s">
        <v>3</v>
      </c>
      <c r="E127" s="15" t="s">
        <v>341</v>
      </c>
      <c r="F127" s="74" t="s">
        <v>374</v>
      </c>
      <c r="G127" s="17">
        <v>1329906</v>
      </c>
      <c r="H127" s="52" t="s">
        <v>61</v>
      </c>
      <c r="I127" s="15" t="s">
        <v>342</v>
      </c>
      <c r="J127" s="52" t="s">
        <v>61</v>
      </c>
      <c r="K127" s="15" t="s">
        <v>185</v>
      </c>
      <c r="L127" s="16" t="s">
        <v>151</v>
      </c>
      <c r="M127" s="15" t="s">
        <v>353</v>
      </c>
      <c r="N127" s="15" t="s">
        <v>196</v>
      </c>
      <c r="O127" s="17" t="s">
        <v>61</v>
      </c>
      <c r="P127" s="17" t="s">
        <v>355</v>
      </c>
      <c r="Q127" s="18"/>
      <c r="R127" s="52" t="s">
        <v>61</v>
      </c>
      <c r="S127" s="15" t="s">
        <v>143</v>
      </c>
      <c r="T127" s="15"/>
      <c r="U127" s="15"/>
      <c r="V127" s="15">
        <v>120</v>
      </c>
      <c r="W127" s="15">
        <f t="shared" ref="W127:W145" si="32">V127</f>
        <v>120</v>
      </c>
      <c r="X127" s="15">
        <v>120</v>
      </c>
      <c r="Y127" s="15">
        <f>ROUNDDOWN(W127/HLOOKUP(D127,Table!$C$3:$D$4,2,0)*8,2)</f>
        <v>2.13</v>
      </c>
      <c r="Z127" s="15">
        <v>2</v>
      </c>
      <c r="AA127" s="15" t="s">
        <v>18</v>
      </c>
      <c r="AB127" s="19"/>
      <c r="AC127" s="19">
        <v>43971</v>
      </c>
      <c r="AD127" s="19">
        <v>43985</v>
      </c>
      <c r="AE127" s="19">
        <v>43971</v>
      </c>
      <c r="AF127" s="19">
        <v>43971</v>
      </c>
      <c r="AG127" s="19" t="s">
        <v>177</v>
      </c>
      <c r="AH127" s="31">
        <v>1</v>
      </c>
      <c r="AI127" s="31">
        <v>1</v>
      </c>
      <c r="AJ127" s="31">
        <v>1</v>
      </c>
      <c r="AK127" s="19" t="s">
        <v>151</v>
      </c>
      <c r="AL127" s="131" t="s">
        <v>61</v>
      </c>
      <c r="AM127" s="131" t="s">
        <v>61</v>
      </c>
      <c r="AN127" s="85" t="s">
        <v>354</v>
      </c>
    </row>
    <row r="128" spans="2:40" hidden="1" x14ac:dyDescent="0.25">
      <c r="B128" s="94">
        <f t="shared" si="31"/>
        <v>69</v>
      </c>
      <c r="C128" s="16">
        <v>20200520</v>
      </c>
      <c r="D128" s="15" t="s">
        <v>3</v>
      </c>
      <c r="E128" s="15" t="s">
        <v>341</v>
      </c>
      <c r="F128" s="74" t="s">
        <v>375</v>
      </c>
      <c r="G128" s="17">
        <v>1329906</v>
      </c>
      <c r="H128" s="52" t="s">
        <v>61</v>
      </c>
      <c r="I128" s="15" t="s">
        <v>291</v>
      </c>
      <c r="J128" s="52" t="s">
        <v>61</v>
      </c>
      <c r="K128" s="15" t="s">
        <v>185</v>
      </c>
      <c r="L128" s="16" t="s">
        <v>151</v>
      </c>
      <c r="M128" s="15" t="s">
        <v>353</v>
      </c>
      <c r="N128" s="15" t="s">
        <v>196</v>
      </c>
      <c r="O128" s="17" t="s">
        <v>61</v>
      </c>
      <c r="P128" s="17" t="s">
        <v>355</v>
      </c>
      <c r="Q128" s="18"/>
      <c r="R128" s="52" t="s">
        <v>61</v>
      </c>
      <c r="S128" s="15" t="s">
        <v>68</v>
      </c>
      <c r="T128" s="15"/>
      <c r="U128" s="15"/>
      <c r="V128" s="15">
        <v>800</v>
      </c>
      <c r="W128" s="15">
        <f t="shared" si="32"/>
        <v>800</v>
      </c>
      <c r="X128" s="15">
        <f>W128</f>
        <v>800</v>
      </c>
      <c r="Y128" s="15">
        <f>ROUNDDOWN(W128/HLOOKUP(D128,Table!$C$3:$D$4,2,0)*8,2)</f>
        <v>14.22</v>
      </c>
      <c r="Z128" s="15">
        <f>Y128</f>
        <v>14.22</v>
      </c>
      <c r="AA128" s="131" t="s">
        <v>18</v>
      </c>
      <c r="AB128" s="19"/>
      <c r="AC128" s="19">
        <v>43971</v>
      </c>
      <c r="AD128" s="19">
        <v>43985</v>
      </c>
      <c r="AE128" s="156">
        <v>43978</v>
      </c>
      <c r="AF128" s="156">
        <v>43978</v>
      </c>
      <c r="AG128" s="156" t="s">
        <v>177</v>
      </c>
      <c r="AH128" s="157">
        <v>1</v>
      </c>
      <c r="AI128" s="157">
        <v>1</v>
      </c>
      <c r="AJ128" s="157">
        <v>1</v>
      </c>
      <c r="AK128" s="156" t="s">
        <v>151</v>
      </c>
      <c r="AL128" s="15"/>
      <c r="AM128" s="15"/>
      <c r="AN128" s="85" t="s">
        <v>354</v>
      </c>
    </row>
    <row r="129" spans="2:40" x14ac:dyDescent="0.25">
      <c r="B129" s="94">
        <f t="shared" si="31"/>
        <v>70</v>
      </c>
      <c r="C129" s="16">
        <v>20200520</v>
      </c>
      <c r="D129" s="15" t="s">
        <v>3</v>
      </c>
      <c r="E129" s="15" t="s">
        <v>341</v>
      </c>
      <c r="F129" s="74" t="s">
        <v>376</v>
      </c>
      <c r="G129" s="17">
        <v>1329906</v>
      </c>
      <c r="H129" s="52" t="s">
        <v>61</v>
      </c>
      <c r="I129" s="15" t="s">
        <v>343</v>
      </c>
      <c r="J129" s="52" t="s">
        <v>61</v>
      </c>
      <c r="K129" s="15" t="s">
        <v>185</v>
      </c>
      <c r="L129" s="16" t="s">
        <v>151</v>
      </c>
      <c r="M129" s="15" t="s">
        <v>353</v>
      </c>
      <c r="N129" s="15" t="s">
        <v>196</v>
      </c>
      <c r="O129" s="17" t="s">
        <v>61</v>
      </c>
      <c r="P129" s="17" t="s">
        <v>355</v>
      </c>
      <c r="Q129" s="18"/>
      <c r="R129" s="52" t="s">
        <v>61</v>
      </c>
      <c r="S129" s="15" t="s">
        <v>143</v>
      </c>
      <c r="T129" s="15"/>
      <c r="U129" s="15"/>
      <c r="V129" s="15">
        <v>236</v>
      </c>
      <c r="W129" s="15">
        <f t="shared" si="32"/>
        <v>236</v>
      </c>
      <c r="X129" s="15">
        <v>236</v>
      </c>
      <c r="Y129" s="15">
        <f>ROUNDDOWN(W129/HLOOKUP(D129,Table!$C$3:$D$4,2,0)*8,2)</f>
        <v>4.1900000000000004</v>
      </c>
      <c r="Z129" s="15">
        <v>2</v>
      </c>
      <c r="AA129" s="15" t="s">
        <v>18</v>
      </c>
      <c r="AB129" s="19"/>
      <c r="AC129" s="19">
        <v>43971</v>
      </c>
      <c r="AD129" s="19">
        <v>43985</v>
      </c>
      <c r="AE129" s="19">
        <v>43971</v>
      </c>
      <c r="AF129" s="19">
        <v>43971</v>
      </c>
      <c r="AG129" s="19" t="s">
        <v>177</v>
      </c>
      <c r="AH129" s="31">
        <v>1</v>
      </c>
      <c r="AI129" s="31">
        <v>1</v>
      </c>
      <c r="AJ129" s="31">
        <v>1</v>
      </c>
      <c r="AK129" s="19" t="s">
        <v>151</v>
      </c>
      <c r="AL129" s="131" t="s">
        <v>61</v>
      </c>
      <c r="AM129" s="131" t="s">
        <v>61</v>
      </c>
      <c r="AN129" s="85" t="s">
        <v>354</v>
      </c>
    </row>
    <row r="130" spans="2:40" x14ac:dyDescent="0.25">
      <c r="B130" s="94">
        <f t="shared" si="31"/>
        <v>71</v>
      </c>
      <c r="C130" s="16">
        <v>20200520</v>
      </c>
      <c r="D130" s="15" t="s">
        <v>3</v>
      </c>
      <c r="E130" s="15" t="s">
        <v>341</v>
      </c>
      <c r="F130" s="74" t="s">
        <v>377</v>
      </c>
      <c r="G130" s="17">
        <v>1329906</v>
      </c>
      <c r="H130" s="52" t="s">
        <v>61</v>
      </c>
      <c r="I130" s="15" t="s">
        <v>344</v>
      </c>
      <c r="J130" s="52" t="s">
        <v>61</v>
      </c>
      <c r="K130" s="15" t="s">
        <v>185</v>
      </c>
      <c r="L130" s="16" t="s">
        <v>151</v>
      </c>
      <c r="M130" s="15" t="s">
        <v>353</v>
      </c>
      <c r="N130" s="15" t="s">
        <v>196</v>
      </c>
      <c r="O130" s="17" t="s">
        <v>61</v>
      </c>
      <c r="P130" s="17" t="s">
        <v>355</v>
      </c>
      <c r="Q130" s="18"/>
      <c r="R130" s="52" t="s">
        <v>61</v>
      </c>
      <c r="S130" s="15" t="s">
        <v>143</v>
      </c>
      <c r="T130" s="15"/>
      <c r="U130" s="15"/>
      <c r="V130" s="15">
        <v>236</v>
      </c>
      <c r="W130" s="15">
        <f t="shared" si="32"/>
        <v>236</v>
      </c>
      <c r="X130" s="15">
        <f t="shared" ref="X130:X137" si="33">W130</f>
        <v>236</v>
      </c>
      <c r="Y130" s="15">
        <f>ROUNDDOWN(W130/HLOOKUP(D130,Table!$C$3:$D$4,2,0)*8,2)</f>
        <v>4.1900000000000004</v>
      </c>
      <c r="Z130" s="15">
        <v>2</v>
      </c>
      <c r="AA130" s="15" t="s">
        <v>18</v>
      </c>
      <c r="AB130" s="19"/>
      <c r="AC130" s="19">
        <v>43971</v>
      </c>
      <c r="AD130" s="19">
        <v>43985</v>
      </c>
      <c r="AE130" s="19">
        <v>43971</v>
      </c>
      <c r="AF130" s="19">
        <v>43971</v>
      </c>
      <c r="AG130" s="19" t="s">
        <v>177</v>
      </c>
      <c r="AH130" s="31">
        <v>1</v>
      </c>
      <c r="AI130" s="31">
        <v>1</v>
      </c>
      <c r="AJ130" s="31">
        <v>1</v>
      </c>
      <c r="AK130" s="19" t="s">
        <v>151</v>
      </c>
      <c r="AL130" s="131" t="s">
        <v>61</v>
      </c>
      <c r="AM130" s="131" t="s">
        <v>61</v>
      </c>
      <c r="AN130" s="85" t="s">
        <v>354</v>
      </c>
    </row>
    <row r="131" spans="2:40" hidden="1" x14ac:dyDescent="0.25">
      <c r="B131" s="94">
        <f t="shared" si="31"/>
        <v>72</v>
      </c>
      <c r="C131" s="16">
        <v>20200520</v>
      </c>
      <c r="D131" s="15" t="s">
        <v>3</v>
      </c>
      <c r="E131" s="15" t="s">
        <v>341</v>
      </c>
      <c r="F131" s="74" t="s">
        <v>378</v>
      </c>
      <c r="G131" s="17">
        <v>1329906</v>
      </c>
      <c r="H131" s="52" t="s">
        <v>61</v>
      </c>
      <c r="I131" s="15" t="s">
        <v>345</v>
      </c>
      <c r="J131" s="52" t="s">
        <v>61</v>
      </c>
      <c r="K131" s="15" t="s">
        <v>185</v>
      </c>
      <c r="L131" s="16" t="s">
        <v>151</v>
      </c>
      <c r="M131" s="15" t="s">
        <v>353</v>
      </c>
      <c r="N131" s="15" t="s">
        <v>196</v>
      </c>
      <c r="O131" s="17" t="s">
        <v>61</v>
      </c>
      <c r="P131" s="17" t="s">
        <v>355</v>
      </c>
      <c r="Q131" s="18"/>
      <c r="R131" s="52" t="s">
        <v>61</v>
      </c>
      <c r="S131" s="15" t="s">
        <v>68</v>
      </c>
      <c r="T131" s="15"/>
      <c r="U131" s="15"/>
      <c r="V131" s="15">
        <v>288</v>
      </c>
      <c r="W131" s="15">
        <f t="shared" si="32"/>
        <v>288</v>
      </c>
      <c r="X131" s="15">
        <f t="shared" si="33"/>
        <v>288</v>
      </c>
      <c r="Y131" s="15">
        <f>ROUNDDOWN(W131/HLOOKUP(D131,Table!$C$3:$D$4,2,0)*8,2)</f>
        <v>5.12</v>
      </c>
      <c r="Z131" s="15">
        <f>Y131</f>
        <v>5.12</v>
      </c>
      <c r="AA131" s="131" t="s">
        <v>18</v>
      </c>
      <c r="AB131" s="19"/>
      <c r="AC131" s="19">
        <v>43971</v>
      </c>
      <c r="AD131" s="19">
        <v>43985</v>
      </c>
      <c r="AE131" s="156">
        <v>43978</v>
      </c>
      <c r="AF131" s="156">
        <v>43978</v>
      </c>
      <c r="AG131" s="156" t="s">
        <v>177</v>
      </c>
      <c r="AH131" s="157">
        <v>1</v>
      </c>
      <c r="AI131" s="157">
        <v>1</v>
      </c>
      <c r="AJ131" s="157">
        <v>1</v>
      </c>
      <c r="AK131" s="156" t="s">
        <v>151</v>
      </c>
      <c r="AL131" s="15"/>
      <c r="AM131" s="15"/>
      <c r="AN131" s="85" t="s">
        <v>354</v>
      </c>
    </row>
    <row r="132" spans="2:40" hidden="1" x14ac:dyDescent="0.25">
      <c r="B132" s="94">
        <f t="shared" si="31"/>
        <v>73</v>
      </c>
      <c r="C132" s="16">
        <v>20200520</v>
      </c>
      <c r="D132" s="15" t="s">
        <v>3</v>
      </c>
      <c r="E132" s="15" t="s">
        <v>341</v>
      </c>
      <c r="F132" s="74" t="s">
        <v>379</v>
      </c>
      <c r="G132" s="17">
        <v>1329906</v>
      </c>
      <c r="H132" s="52" t="s">
        <v>61</v>
      </c>
      <c r="I132" s="15" t="s">
        <v>346</v>
      </c>
      <c r="J132" s="52" t="s">
        <v>61</v>
      </c>
      <c r="K132" s="15" t="s">
        <v>185</v>
      </c>
      <c r="L132" s="16" t="s">
        <v>151</v>
      </c>
      <c r="M132" s="15" t="s">
        <v>353</v>
      </c>
      <c r="N132" s="15" t="s">
        <v>196</v>
      </c>
      <c r="O132" s="17" t="s">
        <v>61</v>
      </c>
      <c r="P132" s="17" t="s">
        <v>355</v>
      </c>
      <c r="Q132" s="18"/>
      <c r="R132" s="52" t="s">
        <v>61</v>
      </c>
      <c r="S132" s="15" t="s">
        <v>70</v>
      </c>
      <c r="T132" s="15"/>
      <c r="U132" s="15"/>
      <c r="V132" s="15">
        <v>124</v>
      </c>
      <c r="W132" s="15">
        <f t="shared" si="32"/>
        <v>124</v>
      </c>
      <c r="X132" s="15">
        <f t="shared" si="33"/>
        <v>124</v>
      </c>
      <c r="Y132" s="15">
        <f>ROUNDDOWN(W132/HLOOKUP(D132,Table!$C$3:$D$4,2,0)*8,2)</f>
        <v>2.2000000000000002</v>
      </c>
      <c r="Z132" s="15">
        <v>0.5</v>
      </c>
      <c r="AA132" s="15" t="s">
        <v>18</v>
      </c>
      <c r="AB132" s="19"/>
      <c r="AC132" s="19">
        <v>43971</v>
      </c>
      <c r="AD132" s="19">
        <v>43985</v>
      </c>
      <c r="AE132" s="19">
        <v>43971</v>
      </c>
      <c r="AF132" s="19">
        <v>43971</v>
      </c>
      <c r="AG132" s="19" t="s">
        <v>178</v>
      </c>
      <c r="AH132" s="31">
        <v>1</v>
      </c>
      <c r="AI132" s="31">
        <v>1</v>
      </c>
      <c r="AJ132" s="31">
        <v>0.5</v>
      </c>
      <c r="AK132" s="19" t="s">
        <v>151</v>
      </c>
      <c r="AL132" s="123" t="s">
        <v>365</v>
      </c>
      <c r="AM132" s="122" t="s">
        <v>61</v>
      </c>
      <c r="AN132" s="85" t="s">
        <v>354</v>
      </c>
    </row>
    <row r="133" spans="2:40" hidden="1" x14ac:dyDescent="0.25">
      <c r="B133" s="94">
        <f t="shared" si="31"/>
        <v>74</v>
      </c>
      <c r="C133" s="16">
        <v>20200520</v>
      </c>
      <c r="D133" s="15" t="s">
        <v>3</v>
      </c>
      <c r="E133" s="15" t="s">
        <v>341</v>
      </c>
      <c r="F133" s="74" t="s">
        <v>380</v>
      </c>
      <c r="G133" s="17">
        <v>1329906</v>
      </c>
      <c r="H133" s="52" t="s">
        <v>61</v>
      </c>
      <c r="I133" s="15" t="s">
        <v>347</v>
      </c>
      <c r="J133" s="52" t="s">
        <v>61</v>
      </c>
      <c r="K133" s="15" t="s">
        <v>185</v>
      </c>
      <c r="L133" s="16" t="s">
        <v>151</v>
      </c>
      <c r="M133" s="15" t="s">
        <v>353</v>
      </c>
      <c r="N133" s="15" t="s">
        <v>196</v>
      </c>
      <c r="O133" s="17" t="s">
        <v>61</v>
      </c>
      <c r="P133" s="17" t="s">
        <v>355</v>
      </c>
      <c r="Q133" s="18"/>
      <c r="R133" s="52" t="s">
        <v>61</v>
      </c>
      <c r="S133" s="15" t="s">
        <v>69</v>
      </c>
      <c r="T133" s="15"/>
      <c r="U133" s="15"/>
      <c r="V133" s="15">
        <v>724</v>
      </c>
      <c r="W133" s="15">
        <f t="shared" si="32"/>
        <v>724</v>
      </c>
      <c r="X133" s="15">
        <f t="shared" si="33"/>
        <v>724</v>
      </c>
      <c r="Y133" s="15">
        <f>ROUNDDOWN(W133/HLOOKUP(D133,Table!$C$3:$D$4,2,0)*8,2)</f>
        <v>12.87</v>
      </c>
      <c r="Z133" s="15">
        <v>8</v>
      </c>
      <c r="AA133" s="15" t="s">
        <v>18</v>
      </c>
      <c r="AB133" s="19"/>
      <c r="AC133" s="19">
        <v>43971</v>
      </c>
      <c r="AD133" s="19">
        <v>43985</v>
      </c>
      <c r="AE133" s="19">
        <v>43973</v>
      </c>
      <c r="AF133" s="19">
        <v>43973</v>
      </c>
      <c r="AG133" s="19" t="s">
        <v>177</v>
      </c>
      <c r="AH133" s="31">
        <v>1</v>
      </c>
      <c r="AI133" s="31">
        <v>1</v>
      </c>
      <c r="AJ133" s="31">
        <v>1</v>
      </c>
      <c r="AK133" s="19" t="s">
        <v>151</v>
      </c>
      <c r="AL133" s="15"/>
      <c r="AM133" s="15"/>
      <c r="AN133" s="85" t="s">
        <v>354</v>
      </c>
    </row>
    <row r="134" spans="2:40" s="154" customFormat="1" hidden="1" x14ac:dyDescent="0.2">
      <c r="B134" s="160">
        <f>B133+1</f>
        <v>75</v>
      </c>
      <c r="C134" s="133">
        <v>20200520</v>
      </c>
      <c r="D134" s="133" t="s">
        <v>3</v>
      </c>
      <c r="E134" s="133" t="s">
        <v>341</v>
      </c>
      <c r="F134" s="155" t="s">
        <v>381</v>
      </c>
      <c r="G134" s="137">
        <v>1329906</v>
      </c>
      <c r="H134" s="129" t="s">
        <v>61</v>
      </c>
      <c r="I134" s="133" t="s">
        <v>208</v>
      </c>
      <c r="J134" s="129" t="s">
        <v>61</v>
      </c>
      <c r="K134" s="133" t="s">
        <v>185</v>
      </c>
      <c r="L134" s="133" t="s">
        <v>151</v>
      </c>
      <c r="M134" s="133" t="s">
        <v>353</v>
      </c>
      <c r="N134" s="133" t="s">
        <v>196</v>
      </c>
      <c r="O134" s="137" t="s">
        <v>61</v>
      </c>
      <c r="P134" s="137" t="s">
        <v>355</v>
      </c>
      <c r="Q134" s="162"/>
      <c r="R134" s="129" t="s">
        <v>61</v>
      </c>
      <c r="S134" s="133" t="s">
        <v>68</v>
      </c>
      <c r="T134" s="152"/>
      <c r="U134" s="152"/>
      <c r="V134" s="133">
        <v>796</v>
      </c>
      <c r="W134" s="133">
        <f>V134</f>
        <v>796</v>
      </c>
      <c r="X134" s="133">
        <f t="shared" si="33"/>
        <v>796</v>
      </c>
      <c r="Y134" s="133">
        <f>ROUNDDOWN(W134/HLOOKUP(D134,Table!$C$3:$D$4,2,0)*8,2)</f>
        <v>14.15</v>
      </c>
      <c r="Z134" s="133">
        <f>Y134</f>
        <v>14.15</v>
      </c>
      <c r="AA134" s="133" t="s">
        <v>18</v>
      </c>
      <c r="AB134" s="134"/>
      <c r="AC134" s="134">
        <v>43971</v>
      </c>
      <c r="AD134" s="134">
        <v>43985</v>
      </c>
      <c r="AE134" s="134">
        <v>43978</v>
      </c>
      <c r="AF134" s="134">
        <v>43978</v>
      </c>
      <c r="AG134" s="153" t="s">
        <v>177</v>
      </c>
      <c r="AH134" s="135">
        <v>1</v>
      </c>
      <c r="AI134" s="135">
        <v>1</v>
      </c>
      <c r="AJ134" s="135">
        <v>1</v>
      </c>
      <c r="AK134" s="135" t="s">
        <v>151</v>
      </c>
      <c r="AL134" s="152"/>
      <c r="AM134" s="152"/>
      <c r="AN134" s="143" t="s">
        <v>354</v>
      </c>
    </row>
    <row r="135" spans="2:40" hidden="1" x14ac:dyDescent="0.25">
      <c r="B135" s="94">
        <f t="shared" si="31"/>
        <v>76</v>
      </c>
      <c r="C135" s="16">
        <v>20200520</v>
      </c>
      <c r="D135" s="15" t="s">
        <v>3</v>
      </c>
      <c r="E135" s="15" t="s">
        <v>341</v>
      </c>
      <c r="F135" s="74" t="s">
        <v>382</v>
      </c>
      <c r="G135" s="17">
        <v>1329906</v>
      </c>
      <c r="H135" s="52" t="s">
        <v>61</v>
      </c>
      <c r="I135" s="15" t="s">
        <v>296</v>
      </c>
      <c r="J135" s="52" t="s">
        <v>61</v>
      </c>
      <c r="K135" s="15" t="s">
        <v>185</v>
      </c>
      <c r="L135" s="16" t="s">
        <v>151</v>
      </c>
      <c r="M135" s="15" t="s">
        <v>353</v>
      </c>
      <c r="N135" s="15" t="s">
        <v>196</v>
      </c>
      <c r="O135" s="17" t="s">
        <v>61</v>
      </c>
      <c r="P135" s="17" t="s">
        <v>355</v>
      </c>
      <c r="Q135" s="18"/>
      <c r="R135" s="52" t="s">
        <v>61</v>
      </c>
      <c r="S135" s="15" t="s">
        <v>69</v>
      </c>
      <c r="T135" s="15"/>
      <c r="U135" s="15"/>
      <c r="V135" s="15">
        <v>476</v>
      </c>
      <c r="W135" s="15">
        <f t="shared" si="32"/>
        <v>476</v>
      </c>
      <c r="X135" s="15">
        <f t="shared" si="33"/>
        <v>476</v>
      </c>
      <c r="Y135" s="15">
        <f>ROUNDDOWN(W135/HLOOKUP(D135,Table!$C$3:$D$4,2,0)*8,2)</f>
        <v>8.4600000000000009</v>
      </c>
      <c r="Z135" s="15">
        <v>8</v>
      </c>
      <c r="AA135" s="15" t="s">
        <v>18</v>
      </c>
      <c r="AB135" s="19"/>
      <c r="AC135" s="19">
        <v>43971</v>
      </c>
      <c r="AD135" s="19">
        <v>43985</v>
      </c>
      <c r="AE135" s="19">
        <v>43976</v>
      </c>
      <c r="AF135" s="19">
        <v>43976</v>
      </c>
      <c r="AG135" s="19" t="s">
        <v>177</v>
      </c>
      <c r="AH135" s="31">
        <v>1</v>
      </c>
      <c r="AI135" s="31">
        <v>1</v>
      </c>
      <c r="AJ135" s="31">
        <v>1</v>
      </c>
      <c r="AK135" s="19" t="s">
        <v>151</v>
      </c>
      <c r="AL135" s="15"/>
      <c r="AM135" s="15"/>
      <c r="AN135" s="85" t="s">
        <v>354</v>
      </c>
    </row>
    <row r="136" spans="2:40" s="136" customFormat="1" hidden="1" x14ac:dyDescent="0.25">
      <c r="B136" s="94">
        <f t="shared" si="31"/>
        <v>77</v>
      </c>
      <c r="C136" s="133">
        <v>20200520</v>
      </c>
      <c r="D136" s="133" t="s">
        <v>3</v>
      </c>
      <c r="E136" s="133" t="s">
        <v>341</v>
      </c>
      <c r="F136" s="138" t="s">
        <v>383</v>
      </c>
      <c r="G136" s="137">
        <v>1329906</v>
      </c>
      <c r="H136" s="52" t="s">
        <v>61</v>
      </c>
      <c r="I136" s="133" t="s">
        <v>348</v>
      </c>
      <c r="J136" s="52" t="s">
        <v>61</v>
      </c>
      <c r="K136" s="133" t="s">
        <v>185</v>
      </c>
      <c r="L136" s="133" t="s">
        <v>151</v>
      </c>
      <c r="M136" s="133" t="s">
        <v>353</v>
      </c>
      <c r="N136" s="133" t="s">
        <v>196</v>
      </c>
      <c r="O136" s="137" t="s">
        <v>61</v>
      </c>
      <c r="P136" s="137" t="s">
        <v>355</v>
      </c>
      <c r="Q136" s="18"/>
      <c r="R136" s="52" t="s">
        <v>61</v>
      </c>
      <c r="S136" s="133" t="s">
        <v>68</v>
      </c>
      <c r="T136" s="133"/>
      <c r="U136" s="133"/>
      <c r="V136" s="133">
        <v>424</v>
      </c>
      <c r="W136" s="133">
        <f>V136</f>
        <v>424</v>
      </c>
      <c r="X136" s="133">
        <f t="shared" si="33"/>
        <v>424</v>
      </c>
      <c r="Y136" s="133">
        <f>ROUNDDOWN(W136/HLOOKUP(D136,Table!$C$3:$D$4,2,0)*8,2)</f>
        <v>7.53</v>
      </c>
      <c r="Z136" s="133">
        <f>Y136</f>
        <v>7.53</v>
      </c>
      <c r="AA136" s="133" t="s">
        <v>18</v>
      </c>
      <c r="AB136" s="134"/>
      <c r="AC136" s="134">
        <v>43971</v>
      </c>
      <c r="AD136" s="134">
        <v>43985</v>
      </c>
      <c r="AE136" s="134">
        <v>43973</v>
      </c>
      <c r="AF136" s="134">
        <v>43973</v>
      </c>
      <c r="AG136" s="134" t="s">
        <v>177</v>
      </c>
      <c r="AH136" s="135">
        <v>1</v>
      </c>
      <c r="AI136" s="135">
        <v>1</v>
      </c>
      <c r="AJ136" s="135">
        <v>1</v>
      </c>
      <c r="AK136" s="134" t="s">
        <v>151</v>
      </c>
      <c r="AL136" s="133"/>
      <c r="AM136" s="133"/>
      <c r="AN136" s="85" t="s">
        <v>354</v>
      </c>
    </row>
    <row r="137" spans="2:40" s="136" customFormat="1" hidden="1" x14ac:dyDescent="0.25">
      <c r="B137" s="94">
        <f t="shared" si="31"/>
        <v>78</v>
      </c>
      <c r="C137" s="133">
        <v>20200520</v>
      </c>
      <c r="D137" s="133" t="s">
        <v>3</v>
      </c>
      <c r="E137" s="133" t="s">
        <v>341</v>
      </c>
      <c r="F137" s="138" t="s">
        <v>384</v>
      </c>
      <c r="G137" s="137">
        <v>1329906</v>
      </c>
      <c r="H137" s="52" t="s">
        <v>61</v>
      </c>
      <c r="I137" s="133" t="s">
        <v>349</v>
      </c>
      <c r="J137" s="52" t="s">
        <v>61</v>
      </c>
      <c r="K137" s="133" t="s">
        <v>185</v>
      </c>
      <c r="L137" s="133" t="s">
        <v>151</v>
      </c>
      <c r="M137" s="133" t="s">
        <v>353</v>
      </c>
      <c r="N137" s="133" t="s">
        <v>196</v>
      </c>
      <c r="O137" s="137" t="s">
        <v>61</v>
      </c>
      <c r="P137" s="137" t="s">
        <v>355</v>
      </c>
      <c r="Q137" s="18"/>
      <c r="R137" s="52" t="s">
        <v>61</v>
      </c>
      <c r="S137" s="133" t="s">
        <v>68</v>
      </c>
      <c r="T137" s="133"/>
      <c r="U137" s="133"/>
      <c r="V137" s="133">
        <v>948</v>
      </c>
      <c r="W137" s="143">
        <f>474</f>
        <v>474</v>
      </c>
      <c r="X137" s="133">
        <f t="shared" si="33"/>
        <v>474</v>
      </c>
      <c r="Y137" s="133">
        <f>ROUNDDOWN(W137/HLOOKUP(D137,Table!$C$3:$D$4,2,0)*8,2)</f>
        <v>8.42</v>
      </c>
      <c r="Z137" s="133">
        <f>Y137</f>
        <v>8.42</v>
      </c>
      <c r="AA137" s="133" t="s">
        <v>18</v>
      </c>
      <c r="AB137" s="19"/>
      <c r="AC137" s="134">
        <v>43971</v>
      </c>
      <c r="AD137" s="134">
        <v>43976</v>
      </c>
      <c r="AE137" s="134">
        <v>43972</v>
      </c>
      <c r="AF137" s="134">
        <v>43972</v>
      </c>
      <c r="AG137" s="134" t="s">
        <v>177</v>
      </c>
      <c r="AH137" s="135">
        <v>1</v>
      </c>
      <c r="AI137" s="135">
        <v>1</v>
      </c>
      <c r="AJ137" s="135">
        <v>1</v>
      </c>
      <c r="AK137" s="134" t="s">
        <v>151</v>
      </c>
      <c r="AL137" s="133"/>
      <c r="AM137" s="133"/>
      <c r="AN137" s="85" t="s">
        <v>354</v>
      </c>
    </row>
    <row r="138" spans="2:40" hidden="1" x14ac:dyDescent="0.25">
      <c r="B138" s="94">
        <f t="shared" si="31"/>
        <v>79</v>
      </c>
      <c r="C138" s="16">
        <v>20200520</v>
      </c>
      <c r="D138" s="15" t="s">
        <v>3</v>
      </c>
      <c r="E138" s="15" t="s">
        <v>341</v>
      </c>
      <c r="F138" s="74" t="s">
        <v>385</v>
      </c>
      <c r="G138" s="17">
        <v>1329906</v>
      </c>
      <c r="H138" s="52" t="s">
        <v>61</v>
      </c>
      <c r="I138" s="15" t="s">
        <v>218</v>
      </c>
      <c r="J138" s="52" t="s">
        <v>61</v>
      </c>
      <c r="K138" s="15" t="s">
        <v>185</v>
      </c>
      <c r="L138" s="16" t="s">
        <v>151</v>
      </c>
      <c r="M138" s="15" t="s">
        <v>353</v>
      </c>
      <c r="N138" s="15" t="s">
        <v>196</v>
      </c>
      <c r="O138" s="17" t="s">
        <v>61</v>
      </c>
      <c r="P138" s="17" t="s">
        <v>355</v>
      </c>
      <c r="Q138" s="18"/>
      <c r="R138" s="52" t="s">
        <v>61</v>
      </c>
      <c r="S138" s="15" t="s">
        <v>70</v>
      </c>
      <c r="T138" s="15"/>
      <c r="U138" s="15"/>
      <c r="V138" s="15">
        <v>360</v>
      </c>
      <c r="W138" s="15">
        <f t="shared" si="32"/>
        <v>360</v>
      </c>
      <c r="X138" s="15">
        <f t="shared" ref="X138:X144" si="34">W138</f>
        <v>360</v>
      </c>
      <c r="Y138" s="15">
        <f>ROUNDDOWN(W138/HLOOKUP(D138,Table!$C$3:$D$4,2,0)*8,2)</f>
        <v>6.4</v>
      </c>
      <c r="Z138" s="15">
        <v>0.5</v>
      </c>
      <c r="AA138" s="15" t="s">
        <v>18</v>
      </c>
      <c r="AB138" s="19"/>
      <c r="AC138" s="19">
        <v>43971</v>
      </c>
      <c r="AD138" s="102">
        <v>43976</v>
      </c>
      <c r="AE138" s="19">
        <v>43971</v>
      </c>
      <c r="AF138" s="19">
        <v>43971</v>
      </c>
      <c r="AG138" s="19" t="s">
        <v>177</v>
      </c>
      <c r="AH138" s="31">
        <v>1</v>
      </c>
      <c r="AI138" s="31">
        <v>1</v>
      </c>
      <c r="AJ138" s="31">
        <v>1</v>
      </c>
      <c r="AK138" s="19" t="s">
        <v>151</v>
      </c>
      <c r="AL138" s="122" t="s">
        <v>61</v>
      </c>
      <c r="AM138" s="122" t="s">
        <v>61</v>
      </c>
      <c r="AN138" s="85" t="s">
        <v>354</v>
      </c>
    </row>
    <row r="139" spans="2:40" hidden="1" x14ac:dyDescent="0.25">
      <c r="B139" s="94">
        <f t="shared" si="31"/>
        <v>80</v>
      </c>
      <c r="C139" s="16">
        <v>20200520</v>
      </c>
      <c r="D139" s="15" t="s">
        <v>3</v>
      </c>
      <c r="E139" s="15" t="s">
        <v>341</v>
      </c>
      <c r="F139" s="74" t="s">
        <v>386</v>
      </c>
      <c r="G139" s="17">
        <v>1329906</v>
      </c>
      <c r="H139" s="52" t="s">
        <v>61</v>
      </c>
      <c r="I139" s="15" t="s">
        <v>350</v>
      </c>
      <c r="J139" s="52" t="s">
        <v>61</v>
      </c>
      <c r="K139" s="15" t="s">
        <v>185</v>
      </c>
      <c r="L139" s="16" t="s">
        <v>151</v>
      </c>
      <c r="M139" s="15" t="s">
        <v>353</v>
      </c>
      <c r="N139" s="15" t="s">
        <v>196</v>
      </c>
      <c r="O139" s="17" t="s">
        <v>61</v>
      </c>
      <c r="P139" s="17" t="s">
        <v>355</v>
      </c>
      <c r="Q139" s="18"/>
      <c r="R139" s="52" t="s">
        <v>61</v>
      </c>
      <c r="S139" s="15" t="s">
        <v>70</v>
      </c>
      <c r="T139" s="15"/>
      <c r="U139" s="15"/>
      <c r="V139" s="15">
        <v>604</v>
      </c>
      <c r="W139" s="15">
        <f t="shared" si="32"/>
        <v>604</v>
      </c>
      <c r="X139" s="15">
        <f t="shared" si="34"/>
        <v>604</v>
      </c>
      <c r="Y139" s="15">
        <f>ROUNDDOWN(W139/HLOOKUP(D139,Table!$C$3:$D$4,2,0)*8,2)</f>
        <v>10.73</v>
      </c>
      <c r="Z139" s="15">
        <v>1</v>
      </c>
      <c r="AA139" s="15" t="s">
        <v>18</v>
      </c>
      <c r="AB139" s="19"/>
      <c r="AC139" s="19">
        <v>43971</v>
      </c>
      <c r="AD139" s="102">
        <v>43976</v>
      </c>
      <c r="AE139" s="19">
        <v>43971</v>
      </c>
      <c r="AF139" s="19">
        <v>43971</v>
      </c>
      <c r="AG139" s="19" t="s">
        <v>177</v>
      </c>
      <c r="AH139" s="31">
        <v>1</v>
      </c>
      <c r="AI139" s="31">
        <v>1</v>
      </c>
      <c r="AJ139" s="31">
        <v>1</v>
      </c>
      <c r="AK139" s="19" t="s">
        <v>151</v>
      </c>
      <c r="AL139" s="122" t="s">
        <v>61</v>
      </c>
      <c r="AM139" s="122" t="s">
        <v>61</v>
      </c>
      <c r="AN139" s="85" t="s">
        <v>354</v>
      </c>
    </row>
    <row r="140" spans="2:40" hidden="1" x14ac:dyDescent="0.25">
      <c r="B140" s="94">
        <f t="shared" si="31"/>
        <v>81</v>
      </c>
      <c r="C140" s="16">
        <v>20200520</v>
      </c>
      <c r="D140" s="15" t="s">
        <v>3</v>
      </c>
      <c r="E140" s="15" t="s">
        <v>341</v>
      </c>
      <c r="F140" s="74" t="s">
        <v>387</v>
      </c>
      <c r="G140" s="17">
        <v>1329906</v>
      </c>
      <c r="H140" s="52" t="s">
        <v>61</v>
      </c>
      <c r="I140" s="15" t="s">
        <v>209</v>
      </c>
      <c r="J140" s="52" t="s">
        <v>61</v>
      </c>
      <c r="K140" s="15" t="s">
        <v>185</v>
      </c>
      <c r="L140" s="16" t="s">
        <v>151</v>
      </c>
      <c r="M140" s="15" t="s">
        <v>353</v>
      </c>
      <c r="N140" s="15" t="s">
        <v>196</v>
      </c>
      <c r="O140" s="17" t="s">
        <v>61</v>
      </c>
      <c r="P140" s="17" t="s">
        <v>355</v>
      </c>
      <c r="Q140" s="18"/>
      <c r="R140" s="52" t="s">
        <v>61</v>
      </c>
      <c r="S140" s="15" t="s">
        <v>69</v>
      </c>
      <c r="T140" s="15"/>
      <c r="U140" s="15"/>
      <c r="V140" s="15">
        <v>708</v>
      </c>
      <c r="W140" s="15">
        <f t="shared" si="32"/>
        <v>708</v>
      </c>
      <c r="X140" s="15">
        <f t="shared" si="34"/>
        <v>708</v>
      </c>
      <c r="Y140" s="15">
        <f>ROUNDDOWN(W140/HLOOKUP(D140,Table!$C$3:$D$4,2,0)*8,2)</f>
        <v>12.58</v>
      </c>
      <c r="Z140" s="15">
        <v>8</v>
      </c>
      <c r="AA140" s="15" t="s">
        <v>18</v>
      </c>
      <c r="AB140" s="19"/>
      <c r="AC140" s="19">
        <v>43971</v>
      </c>
      <c r="AD140" s="102">
        <v>43976</v>
      </c>
      <c r="AE140" s="19">
        <v>43972</v>
      </c>
      <c r="AF140" s="19">
        <v>43972</v>
      </c>
      <c r="AG140" s="19" t="s">
        <v>177</v>
      </c>
      <c r="AH140" s="31">
        <v>1</v>
      </c>
      <c r="AI140" s="31">
        <v>1</v>
      </c>
      <c r="AJ140" s="31">
        <v>1</v>
      </c>
      <c r="AK140" s="19" t="s">
        <v>151</v>
      </c>
      <c r="AL140" s="15"/>
      <c r="AM140" s="15"/>
      <c r="AN140" s="85" t="s">
        <v>354</v>
      </c>
    </row>
    <row r="141" spans="2:40" hidden="1" x14ac:dyDescent="0.25">
      <c r="B141" s="94">
        <f t="shared" si="31"/>
        <v>82</v>
      </c>
      <c r="C141" s="16">
        <v>20200520</v>
      </c>
      <c r="D141" s="15" t="s">
        <v>3</v>
      </c>
      <c r="E141" s="81" t="s">
        <v>341</v>
      </c>
      <c r="F141" s="74" t="s">
        <v>384</v>
      </c>
      <c r="G141" s="81">
        <v>1470767</v>
      </c>
      <c r="H141" s="52" t="s">
        <v>61</v>
      </c>
      <c r="I141" s="81" t="s">
        <v>349</v>
      </c>
      <c r="J141" s="52" t="s">
        <v>61</v>
      </c>
      <c r="K141" s="15" t="s">
        <v>185</v>
      </c>
      <c r="L141" s="16" t="s">
        <v>151</v>
      </c>
      <c r="M141" s="15" t="s">
        <v>353</v>
      </c>
      <c r="N141" s="81" t="s">
        <v>196</v>
      </c>
      <c r="O141" s="17" t="s">
        <v>61</v>
      </c>
      <c r="P141" s="78" t="s">
        <v>363</v>
      </c>
      <c r="Q141" s="18"/>
      <c r="R141" s="52" t="s">
        <v>61</v>
      </c>
      <c r="S141" s="15" t="s">
        <v>69</v>
      </c>
      <c r="T141" s="15"/>
      <c r="U141" s="15"/>
      <c r="V141" s="81">
        <v>474</v>
      </c>
      <c r="W141" s="15">
        <f>V141</f>
        <v>474</v>
      </c>
      <c r="X141" s="15">
        <f t="shared" si="34"/>
        <v>474</v>
      </c>
      <c r="Y141" s="15">
        <f>ROUNDDOWN(W141/HLOOKUP(D141,Table!$C$3:$D$4,2,0)*8,2)</f>
        <v>8.42</v>
      </c>
      <c r="Z141" s="15">
        <v>4</v>
      </c>
      <c r="AA141" s="15" t="s">
        <v>18</v>
      </c>
      <c r="AB141" s="19"/>
      <c r="AC141" s="19">
        <v>43971</v>
      </c>
      <c r="AD141" s="102">
        <v>43976</v>
      </c>
      <c r="AE141" s="19">
        <v>43972</v>
      </c>
      <c r="AF141" s="19">
        <v>43972</v>
      </c>
      <c r="AG141" s="19" t="s">
        <v>177</v>
      </c>
      <c r="AH141" s="31">
        <v>1</v>
      </c>
      <c r="AI141" s="31">
        <v>1</v>
      </c>
      <c r="AJ141" s="31">
        <v>1</v>
      </c>
      <c r="AK141" s="19" t="s">
        <v>151</v>
      </c>
      <c r="AL141" s="15"/>
      <c r="AM141" s="15"/>
      <c r="AN141" s="85" t="s">
        <v>354</v>
      </c>
    </row>
    <row r="142" spans="2:40" hidden="1" x14ac:dyDescent="0.25">
      <c r="B142" s="94">
        <f t="shared" si="31"/>
        <v>83</v>
      </c>
      <c r="C142" s="16">
        <v>20200520</v>
      </c>
      <c r="D142" s="15" t="s">
        <v>3</v>
      </c>
      <c r="E142" s="81" t="s">
        <v>358</v>
      </c>
      <c r="F142" s="74" t="s">
        <v>391</v>
      </c>
      <c r="G142" s="81">
        <v>1470769</v>
      </c>
      <c r="H142" s="52" t="s">
        <v>61</v>
      </c>
      <c r="I142" s="81" t="s">
        <v>349</v>
      </c>
      <c r="J142" s="52" t="s">
        <v>61</v>
      </c>
      <c r="K142" s="15" t="s">
        <v>185</v>
      </c>
      <c r="L142" s="16" t="s">
        <v>151</v>
      </c>
      <c r="M142" s="81" t="s">
        <v>361</v>
      </c>
      <c r="N142" s="81" t="s">
        <v>362</v>
      </c>
      <c r="O142" s="17" t="s">
        <v>61</v>
      </c>
      <c r="P142" s="78" t="s">
        <v>363</v>
      </c>
      <c r="Q142" s="18"/>
      <c r="R142" s="52" t="s">
        <v>61</v>
      </c>
      <c r="S142" s="15" t="s">
        <v>69</v>
      </c>
      <c r="T142" s="15"/>
      <c r="U142" s="15"/>
      <c r="V142" s="81">
        <v>474</v>
      </c>
      <c r="W142" s="15">
        <f>V142</f>
        <v>474</v>
      </c>
      <c r="X142" s="15">
        <f t="shared" si="34"/>
        <v>474</v>
      </c>
      <c r="Y142" s="15">
        <f>ROUNDDOWN(W142/HLOOKUP(D142,Table!$C$3:$D$4,2,0)*8,2)</f>
        <v>8.42</v>
      </c>
      <c r="Z142" s="15">
        <v>4</v>
      </c>
      <c r="AA142" s="15" t="s">
        <v>18</v>
      </c>
      <c r="AB142" s="19"/>
      <c r="AC142" s="19">
        <v>43971</v>
      </c>
      <c r="AD142" s="102">
        <v>43976</v>
      </c>
      <c r="AE142" s="19">
        <v>43972</v>
      </c>
      <c r="AF142" s="19">
        <v>43972</v>
      </c>
      <c r="AG142" s="19" t="s">
        <v>177</v>
      </c>
      <c r="AH142" s="31">
        <v>1</v>
      </c>
      <c r="AI142" s="31">
        <v>1</v>
      </c>
      <c r="AJ142" s="31">
        <v>1</v>
      </c>
      <c r="AK142" s="19" t="s">
        <v>151</v>
      </c>
      <c r="AL142" s="15"/>
      <c r="AM142" s="15"/>
      <c r="AN142" s="85" t="s">
        <v>354</v>
      </c>
    </row>
    <row r="143" spans="2:40" hidden="1" x14ac:dyDescent="0.25">
      <c r="B143" s="94">
        <f t="shared" si="31"/>
        <v>84</v>
      </c>
      <c r="C143" s="16">
        <v>20200520</v>
      </c>
      <c r="D143" s="15" t="s">
        <v>3</v>
      </c>
      <c r="E143" s="81" t="s">
        <v>358</v>
      </c>
      <c r="F143" s="74" t="s">
        <v>401</v>
      </c>
      <c r="G143" s="81">
        <v>1459843</v>
      </c>
      <c r="H143" s="52" t="s">
        <v>61</v>
      </c>
      <c r="I143" s="81" t="s">
        <v>359</v>
      </c>
      <c r="J143" s="52" t="s">
        <v>61</v>
      </c>
      <c r="K143" s="15" t="s">
        <v>185</v>
      </c>
      <c r="L143" s="16" t="s">
        <v>151</v>
      </c>
      <c r="M143" s="15" t="s">
        <v>361</v>
      </c>
      <c r="N143" s="81" t="s">
        <v>362</v>
      </c>
      <c r="O143" s="17" t="s">
        <v>61</v>
      </c>
      <c r="P143" s="78" t="s">
        <v>364</v>
      </c>
      <c r="Q143" s="18"/>
      <c r="R143" s="52" t="s">
        <v>61</v>
      </c>
      <c r="S143" s="15" t="s">
        <v>68</v>
      </c>
      <c r="T143" s="15"/>
      <c r="U143" s="15"/>
      <c r="V143" s="81">
        <v>20</v>
      </c>
      <c r="W143" s="15">
        <f>V143</f>
        <v>20</v>
      </c>
      <c r="X143" s="15">
        <f t="shared" si="34"/>
        <v>20</v>
      </c>
      <c r="Y143" s="15">
        <f>ROUNDDOWN(W143/HLOOKUP(D143,Table!$C$3:$D$4,2,0)*8,2)</f>
        <v>0.35</v>
      </c>
      <c r="Z143" s="15">
        <f>Y143</f>
        <v>0.35</v>
      </c>
      <c r="AA143" s="15" t="s">
        <v>18</v>
      </c>
      <c r="AB143" s="19"/>
      <c r="AC143" s="19">
        <v>43971</v>
      </c>
      <c r="AD143" s="102">
        <v>43976</v>
      </c>
      <c r="AE143" s="19">
        <v>43972</v>
      </c>
      <c r="AF143" s="19">
        <v>43972</v>
      </c>
      <c r="AG143" s="19" t="s">
        <v>177</v>
      </c>
      <c r="AH143" s="31">
        <v>1</v>
      </c>
      <c r="AI143" s="31">
        <v>1</v>
      </c>
      <c r="AJ143" s="31">
        <v>1</v>
      </c>
      <c r="AK143" s="19" t="s">
        <v>151</v>
      </c>
      <c r="AL143" s="15"/>
      <c r="AM143" s="15"/>
      <c r="AN143" s="85" t="s">
        <v>354</v>
      </c>
    </row>
    <row r="144" spans="2:40" hidden="1" x14ac:dyDescent="0.25">
      <c r="B144" s="94">
        <f t="shared" si="31"/>
        <v>85</v>
      </c>
      <c r="C144" s="16">
        <v>20200520</v>
      </c>
      <c r="D144" s="15" t="s">
        <v>3</v>
      </c>
      <c r="E144" s="81" t="s">
        <v>358</v>
      </c>
      <c r="F144" s="74" t="s">
        <v>400</v>
      </c>
      <c r="G144" s="81">
        <v>1459843</v>
      </c>
      <c r="H144" s="52" t="s">
        <v>61</v>
      </c>
      <c r="I144" s="81" t="s">
        <v>360</v>
      </c>
      <c r="J144" s="52" t="s">
        <v>61</v>
      </c>
      <c r="K144" s="15" t="s">
        <v>185</v>
      </c>
      <c r="L144" s="16" t="s">
        <v>151</v>
      </c>
      <c r="M144" s="15" t="s">
        <v>361</v>
      </c>
      <c r="N144" s="81" t="s">
        <v>362</v>
      </c>
      <c r="O144" s="17" t="s">
        <v>61</v>
      </c>
      <c r="P144" s="78" t="s">
        <v>364</v>
      </c>
      <c r="Q144" s="18"/>
      <c r="R144" s="52" t="s">
        <v>61</v>
      </c>
      <c r="S144" s="15" t="s">
        <v>68</v>
      </c>
      <c r="T144" s="15"/>
      <c r="U144" s="15"/>
      <c r="V144" s="81">
        <v>64</v>
      </c>
      <c r="W144" s="15">
        <f>V144</f>
        <v>64</v>
      </c>
      <c r="X144" s="15">
        <f t="shared" si="34"/>
        <v>64</v>
      </c>
      <c r="Y144" s="15">
        <f>ROUNDDOWN(W144/HLOOKUP(D144,Table!$C$3:$D$4,2,0)*8,2)</f>
        <v>1.1299999999999999</v>
      </c>
      <c r="Z144" s="15">
        <f>Y144</f>
        <v>1.1299999999999999</v>
      </c>
      <c r="AA144" s="15" t="s">
        <v>18</v>
      </c>
      <c r="AB144" s="19"/>
      <c r="AC144" s="19">
        <v>43971</v>
      </c>
      <c r="AD144" s="102">
        <v>43976</v>
      </c>
      <c r="AE144" s="19">
        <v>43972</v>
      </c>
      <c r="AF144" s="19">
        <v>43972</v>
      </c>
      <c r="AG144" s="19" t="s">
        <v>177</v>
      </c>
      <c r="AH144" s="31">
        <v>1</v>
      </c>
      <c r="AI144" s="31">
        <v>1</v>
      </c>
      <c r="AJ144" s="31">
        <v>1</v>
      </c>
      <c r="AK144" s="19" t="s">
        <v>151</v>
      </c>
      <c r="AL144" s="15"/>
      <c r="AM144" s="15"/>
      <c r="AN144" s="85" t="s">
        <v>354</v>
      </c>
    </row>
    <row r="145" spans="2:40" hidden="1" x14ac:dyDescent="0.25">
      <c r="B145" s="94">
        <f t="shared" si="31"/>
        <v>86</v>
      </c>
      <c r="C145" s="16">
        <v>20200520</v>
      </c>
      <c r="D145" s="15" t="s">
        <v>3</v>
      </c>
      <c r="E145" s="15" t="s">
        <v>341</v>
      </c>
      <c r="F145" s="74" t="s">
        <v>388</v>
      </c>
      <c r="G145" s="17">
        <v>1373116</v>
      </c>
      <c r="H145" s="52" t="s">
        <v>61</v>
      </c>
      <c r="I145" s="15" t="s">
        <v>351</v>
      </c>
      <c r="J145" s="52" t="s">
        <v>61</v>
      </c>
      <c r="K145" s="15" t="s">
        <v>185</v>
      </c>
      <c r="L145" s="16" t="s">
        <v>151</v>
      </c>
      <c r="M145" s="15" t="s">
        <v>353</v>
      </c>
      <c r="N145" s="15" t="s">
        <v>196</v>
      </c>
      <c r="O145" s="17" t="s">
        <v>61</v>
      </c>
      <c r="P145" s="17" t="s">
        <v>355</v>
      </c>
      <c r="Q145" s="18"/>
      <c r="R145" s="52" t="s">
        <v>61</v>
      </c>
      <c r="S145" s="15" t="s">
        <v>67</v>
      </c>
      <c r="T145" s="15"/>
      <c r="U145" s="15"/>
      <c r="V145" s="15">
        <v>2892</v>
      </c>
      <c r="W145" s="15">
        <f t="shared" si="32"/>
        <v>2892</v>
      </c>
      <c r="X145" s="15">
        <f t="shared" ref="X145:X150" si="35">W145</f>
        <v>2892</v>
      </c>
      <c r="Y145" s="15">
        <f>ROUNDDOWN(W145/HLOOKUP(D145,Table!$C$3:$D$4,2,0)*8,2)</f>
        <v>51.41</v>
      </c>
      <c r="Z145" s="15">
        <v>12</v>
      </c>
      <c r="AA145" s="15" t="s">
        <v>18</v>
      </c>
      <c r="AB145" s="19"/>
      <c r="AC145" s="19">
        <v>43971</v>
      </c>
      <c r="AD145" s="19">
        <v>43985</v>
      </c>
      <c r="AE145" s="19">
        <v>43979</v>
      </c>
      <c r="AF145" s="19">
        <v>43979</v>
      </c>
      <c r="AG145" s="19" t="s">
        <v>177</v>
      </c>
      <c r="AH145" s="31">
        <v>1</v>
      </c>
      <c r="AI145" s="31">
        <v>1</v>
      </c>
      <c r="AJ145" s="31">
        <v>1</v>
      </c>
      <c r="AK145" s="19" t="s">
        <v>151</v>
      </c>
      <c r="AL145" s="113" t="s">
        <v>61</v>
      </c>
      <c r="AM145" s="113" t="s">
        <v>61</v>
      </c>
      <c r="AN145" s="85" t="s">
        <v>354</v>
      </c>
    </row>
    <row r="146" spans="2:40" hidden="1" x14ac:dyDescent="0.25">
      <c r="B146" s="94">
        <f t="shared" si="31"/>
        <v>87</v>
      </c>
      <c r="C146" s="16">
        <v>20200520</v>
      </c>
      <c r="D146" s="15" t="s">
        <v>3</v>
      </c>
      <c r="E146" s="15" t="s">
        <v>341</v>
      </c>
      <c r="F146" s="74" t="s">
        <v>389</v>
      </c>
      <c r="G146" s="17">
        <v>1373116</v>
      </c>
      <c r="H146" s="52" t="s">
        <v>61</v>
      </c>
      <c r="I146" s="15" t="s">
        <v>352</v>
      </c>
      <c r="J146" s="52" t="s">
        <v>61</v>
      </c>
      <c r="K146" s="15" t="s">
        <v>185</v>
      </c>
      <c r="L146" s="16" t="s">
        <v>151</v>
      </c>
      <c r="M146" s="15" t="s">
        <v>353</v>
      </c>
      <c r="N146" s="15" t="s">
        <v>196</v>
      </c>
      <c r="O146" s="17" t="s">
        <v>61</v>
      </c>
      <c r="P146" s="17" t="s">
        <v>355</v>
      </c>
      <c r="Q146" s="18"/>
      <c r="R146" s="52" t="s">
        <v>61</v>
      </c>
      <c r="S146" s="15" t="s">
        <v>69</v>
      </c>
      <c r="T146" s="15"/>
      <c r="U146" s="15"/>
      <c r="V146" s="15">
        <v>808</v>
      </c>
      <c r="W146" s="85">
        <f>V146-V146+404</f>
        <v>404</v>
      </c>
      <c r="X146" s="15">
        <f t="shared" si="35"/>
        <v>404</v>
      </c>
      <c r="Y146" s="15">
        <f>ROUNDDOWN(W146/HLOOKUP(D146,Table!$C$3:$D$4,2,0)*8,2)</f>
        <v>7.18</v>
      </c>
      <c r="Z146" s="15">
        <v>8</v>
      </c>
      <c r="AA146" s="15" t="s">
        <v>18</v>
      </c>
      <c r="AB146" s="19"/>
      <c r="AC146" s="19">
        <v>43971</v>
      </c>
      <c r="AD146" s="19">
        <v>43985</v>
      </c>
      <c r="AE146" s="19">
        <v>43977</v>
      </c>
      <c r="AF146" s="19">
        <v>43977</v>
      </c>
      <c r="AG146" s="19" t="s">
        <v>177</v>
      </c>
      <c r="AH146" s="31">
        <v>1</v>
      </c>
      <c r="AI146" s="31">
        <v>1</v>
      </c>
      <c r="AJ146" s="31">
        <v>1</v>
      </c>
      <c r="AK146" s="19" t="s">
        <v>151</v>
      </c>
      <c r="AL146" s="144" t="s">
        <v>61</v>
      </c>
      <c r="AM146" s="144" t="s">
        <v>61</v>
      </c>
      <c r="AN146" s="85" t="s">
        <v>354</v>
      </c>
    </row>
    <row r="147" spans="2:40" hidden="1" x14ac:dyDescent="0.25">
      <c r="B147" s="93">
        <f t="shared" si="31"/>
        <v>88</v>
      </c>
      <c r="C147" s="16">
        <v>20200520</v>
      </c>
      <c r="D147" s="15" t="s">
        <v>3</v>
      </c>
      <c r="E147" s="15" t="s">
        <v>367</v>
      </c>
      <c r="F147" s="74" t="s">
        <v>402</v>
      </c>
      <c r="G147" s="17">
        <v>1452940</v>
      </c>
      <c r="H147" s="52" t="s">
        <v>61</v>
      </c>
      <c r="I147" s="15" t="s">
        <v>161</v>
      </c>
      <c r="J147" s="52" t="s">
        <v>61</v>
      </c>
      <c r="K147" s="15" t="s">
        <v>147</v>
      </c>
      <c r="L147" s="15" t="s">
        <v>151</v>
      </c>
      <c r="M147" s="15" t="s">
        <v>369</v>
      </c>
      <c r="N147" s="15" t="s">
        <v>371</v>
      </c>
      <c r="O147" s="17" t="s">
        <v>61</v>
      </c>
      <c r="P147" s="17" t="s">
        <v>204</v>
      </c>
      <c r="Q147" s="18"/>
      <c r="R147" s="52" t="s">
        <v>61</v>
      </c>
      <c r="S147" s="15" t="s">
        <v>64</v>
      </c>
      <c r="T147" s="15"/>
      <c r="U147" s="15"/>
      <c r="V147" s="15">
        <v>35</v>
      </c>
      <c r="W147" s="15">
        <f t="shared" ref="W147:W152" si="36">V147</f>
        <v>35</v>
      </c>
      <c r="X147" s="15">
        <f t="shared" si="35"/>
        <v>35</v>
      </c>
      <c r="Y147" s="15">
        <f>ROUNDDOWN(W147/HLOOKUP(D147,Table!$C$3:$D$4,2,0)*8,2)</f>
        <v>0.62</v>
      </c>
      <c r="Z147" s="15">
        <v>0.5</v>
      </c>
      <c r="AA147" s="15" t="s">
        <v>74</v>
      </c>
      <c r="AB147" s="19">
        <v>43973</v>
      </c>
      <c r="AC147" s="19">
        <v>43971</v>
      </c>
      <c r="AD147" s="102">
        <v>43973</v>
      </c>
      <c r="AE147" s="19">
        <v>43971</v>
      </c>
      <c r="AF147" s="19">
        <v>43971</v>
      </c>
      <c r="AG147" s="19" t="s">
        <v>177</v>
      </c>
      <c r="AH147" s="31">
        <v>1</v>
      </c>
      <c r="AI147" s="31">
        <v>1</v>
      </c>
      <c r="AJ147" s="31">
        <v>1</v>
      </c>
      <c r="AK147" s="19" t="s">
        <v>151</v>
      </c>
      <c r="AL147" s="15"/>
      <c r="AM147" s="15"/>
      <c r="AN147" s="15"/>
    </row>
    <row r="148" spans="2:40" hidden="1" x14ac:dyDescent="0.25">
      <c r="B148" s="93">
        <f t="shared" si="31"/>
        <v>89</v>
      </c>
      <c r="C148" s="16">
        <v>20200520</v>
      </c>
      <c r="D148" s="15" t="s">
        <v>3</v>
      </c>
      <c r="E148" s="15" t="s">
        <v>367</v>
      </c>
      <c r="F148" s="74" t="s">
        <v>403</v>
      </c>
      <c r="G148" s="17">
        <v>1452940</v>
      </c>
      <c r="H148" s="52" t="s">
        <v>61</v>
      </c>
      <c r="I148" s="15" t="s">
        <v>227</v>
      </c>
      <c r="J148" s="52" t="s">
        <v>61</v>
      </c>
      <c r="K148" s="15" t="s">
        <v>147</v>
      </c>
      <c r="L148" s="15" t="s">
        <v>151</v>
      </c>
      <c r="M148" s="15" t="s">
        <v>369</v>
      </c>
      <c r="N148" s="15" t="s">
        <v>371</v>
      </c>
      <c r="O148" s="17" t="s">
        <v>61</v>
      </c>
      <c r="P148" s="17" t="s">
        <v>204</v>
      </c>
      <c r="Q148" s="18"/>
      <c r="R148" s="52" t="s">
        <v>61</v>
      </c>
      <c r="S148" s="15" t="s">
        <v>64</v>
      </c>
      <c r="T148" s="15"/>
      <c r="U148" s="15"/>
      <c r="V148" s="15">
        <v>249</v>
      </c>
      <c r="W148" s="15">
        <f t="shared" si="36"/>
        <v>249</v>
      </c>
      <c r="X148" s="15">
        <f t="shared" si="35"/>
        <v>249</v>
      </c>
      <c r="Y148" s="15">
        <f>ROUNDDOWN(W148/HLOOKUP(D148,Table!$C$3:$D$4,2,0)*8,2)</f>
        <v>4.42</v>
      </c>
      <c r="Z148" s="15">
        <v>1</v>
      </c>
      <c r="AA148" s="15" t="s">
        <v>74</v>
      </c>
      <c r="AB148" s="19">
        <v>43973</v>
      </c>
      <c r="AC148" s="19">
        <v>43971</v>
      </c>
      <c r="AD148" s="102">
        <v>43973</v>
      </c>
      <c r="AE148" s="19">
        <v>43971</v>
      </c>
      <c r="AF148" s="19">
        <v>43971</v>
      </c>
      <c r="AG148" s="19" t="s">
        <v>177</v>
      </c>
      <c r="AH148" s="31">
        <v>1</v>
      </c>
      <c r="AI148" s="31">
        <v>1</v>
      </c>
      <c r="AJ148" s="31">
        <v>1</v>
      </c>
      <c r="AK148" s="19" t="s">
        <v>151</v>
      </c>
      <c r="AL148" s="15"/>
      <c r="AM148" s="15"/>
      <c r="AN148" s="15"/>
    </row>
    <row r="149" spans="2:40" hidden="1" x14ac:dyDescent="0.25">
      <c r="B149" s="93">
        <f t="shared" si="31"/>
        <v>90</v>
      </c>
      <c r="C149" s="16">
        <v>20200520</v>
      </c>
      <c r="D149" s="15" t="s">
        <v>3</v>
      </c>
      <c r="E149" s="15" t="s">
        <v>368</v>
      </c>
      <c r="F149" s="74" t="s">
        <v>404</v>
      </c>
      <c r="G149" s="17">
        <v>1474097</v>
      </c>
      <c r="H149" s="52" t="s">
        <v>61</v>
      </c>
      <c r="I149" s="15" t="s">
        <v>270</v>
      </c>
      <c r="J149" s="52" t="s">
        <v>61</v>
      </c>
      <c r="K149" s="15" t="s">
        <v>147</v>
      </c>
      <c r="L149" s="15" t="s">
        <v>181</v>
      </c>
      <c r="M149" s="15" t="s">
        <v>370</v>
      </c>
      <c r="N149" s="15" t="s">
        <v>182</v>
      </c>
      <c r="O149" s="17" t="s">
        <v>61</v>
      </c>
      <c r="P149" s="17" t="s">
        <v>180</v>
      </c>
      <c r="Q149" s="18"/>
      <c r="R149" s="52" t="s">
        <v>61</v>
      </c>
      <c r="S149" s="15" t="s">
        <v>6</v>
      </c>
      <c r="T149" s="15"/>
      <c r="U149" s="15"/>
      <c r="V149" s="15">
        <v>641</v>
      </c>
      <c r="W149" s="85">
        <v>60</v>
      </c>
      <c r="X149" s="15">
        <f t="shared" si="35"/>
        <v>60</v>
      </c>
      <c r="Y149" s="15">
        <f>ROUNDDOWN(W149/HLOOKUP(D149,Table!$C$3:$D$4,2,0)*8,2)</f>
        <v>1.06</v>
      </c>
      <c r="Z149" s="15">
        <v>1</v>
      </c>
      <c r="AA149" s="15" t="s">
        <v>74</v>
      </c>
      <c r="AB149" s="19">
        <v>43973</v>
      </c>
      <c r="AC149" s="19">
        <v>43971</v>
      </c>
      <c r="AD149" s="102">
        <v>43973</v>
      </c>
      <c r="AE149" s="19">
        <v>43972</v>
      </c>
      <c r="AF149" s="19">
        <v>43972</v>
      </c>
      <c r="AG149" s="19" t="s">
        <v>177</v>
      </c>
      <c r="AH149" s="31">
        <v>1</v>
      </c>
      <c r="AI149" s="31">
        <v>1</v>
      </c>
      <c r="AJ149" s="31">
        <v>1</v>
      </c>
      <c r="AK149" s="19" t="s">
        <v>151</v>
      </c>
      <c r="AL149" s="15"/>
      <c r="AM149" s="15"/>
      <c r="AN149" s="15" t="s">
        <v>417</v>
      </c>
    </row>
    <row r="150" spans="2:40" hidden="1" x14ac:dyDescent="0.25">
      <c r="B150" s="93">
        <f t="shared" si="31"/>
        <v>91</v>
      </c>
      <c r="C150" s="16">
        <v>20200520</v>
      </c>
      <c r="D150" s="15" t="s">
        <v>3</v>
      </c>
      <c r="E150" s="15" t="s">
        <v>392</v>
      </c>
      <c r="F150" s="74" t="s">
        <v>405</v>
      </c>
      <c r="G150" s="17">
        <v>1478932</v>
      </c>
      <c r="H150" s="52" t="s">
        <v>61</v>
      </c>
      <c r="I150" s="15" t="s">
        <v>394</v>
      </c>
      <c r="J150" s="52" t="s">
        <v>61</v>
      </c>
      <c r="K150" s="15" t="s">
        <v>147</v>
      </c>
      <c r="L150" s="15" t="s">
        <v>397</v>
      </c>
      <c r="M150" s="15" t="s">
        <v>151</v>
      </c>
      <c r="N150" s="15" t="s">
        <v>395</v>
      </c>
      <c r="O150" s="17" t="s">
        <v>61</v>
      </c>
      <c r="P150" s="17" t="s">
        <v>396</v>
      </c>
      <c r="Q150" s="18"/>
      <c r="R150" s="52" t="s">
        <v>61</v>
      </c>
      <c r="S150" s="15" t="s">
        <v>64</v>
      </c>
      <c r="T150" s="15"/>
      <c r="U150" s="15"/>
      <c r="V150" s="15">
        <v>81</v>
      </c>
      <c r="W150" s="15">
        <f t="shared" si="36"/>
        <v>81</v>
      </c>
      <c r="X150" s="15">
        <f t="shared" si="35"/>
        <v>81</v>
      </c>
      <c r="Y150" s="15">
        <f>ROUNDDOWN(W150/HLOOKUP(D150,Table!$C$3:$D$4,2,0)*8,2)</f>
        <v>1.44</v>
      </c>
      <c r="Z150" s="15">
        <v>1</v>
      </c>
      <c r="AA150" s="15" t="s">
        <v>21</v>
      </c>
      <c r="AB150" s="19">
        <v>43972</v>
      </c>
      <c r="AC150" s="19">
        <v>43971</v>
      </c>
      <c r="AD150" s="19">
        <v>43972</v>
      </c>
      <c r="AE150" s="19">
        <v>43972</v>
      </c>
      <c r="AF150" s="19">
        <v>43972</v>
      </c>
      <c r="AG150" s="19" t="s">
        <v>177</v>
      </c>
      <c r="AH150" s="31">
        <v>1</v>
      </c>
      <c r="AI150" s="31">
        <v>1</v>
      </c>
      <c r="AJ150" s="31">
        <v>1</v>
      </c>
      <c r="AK150" s="19" t="s">
        <v>151</v>
      </c>
      <c r="AL150" s="15"/>
      <c r="AM150" s="15"/>
      <c r="AN150" s="15"/>
    </row>
    <row r="151" spans="2:40" hidden="1" x14ac:dyDescent="0.25">
      <c r="B151" s="93">
        <f t="shared" si="31"/>
        <v>92</v>
      </c>
      <c r="C151" s="16">
        <v>20200520</v>
      </c>
      <c r="D151" s="15" t="s">
        <v>3</v>
      </c>
      <c r="E151" s="15" t="s">
        <v>392</v>
      </c>
      <c r="F151" s="74" t="s">
        <v>406</v>
      </c>
      <c r="G151" s="17">
        <v>1478932</v>
      </c>
      <c r="H151" s="52" t="s">
        <v>61</v>
      </c>
      <c r="I151" s="15" t="s">
        <v>394</v>
      </c>
      <c r="J151" s="52" t="s">
        <v>61</v>
      </c>
      <c r="K151" s="15" t="s">
        <v>147</v>
      </c>
      <c r="L151" s="15" t="s">
        <v>398</v>
      </c>
      <c r="M151" s="15" t="s">
        <v>151</v>
      </c>
      <c r="N151" s="15" t="s">
        <v>205</v>
      </c>
      <c r="O151" s="17" t="s">
        <v>61</v>
      </c>
      <c r="P151" s="17" t="s">
        <v>396</v>
      </c>
      <c r="Q151" s="18"/>
      <c r="R151" s="52" t="s">
        <v>61</v>
      </c>
      <c r="S151" s="15" t="s">
        <v>64</v>
      </c>
      <c r="T151" s="15"/>
      <c r="U151" s="15"/>
      <c r="V151" s="15">
        <v>81</v>
      </c>
      <c r="W151" s="15">
        <f t="shared" si="36"/>
        <v>81</v>
      </c>
      <c r="X151" s="15">
        <f t="shared" ref="X151:X152" si="37">W151</f>
        <v>81</v>
      </c>
      <c r="Y151" s="15">
        <f>ROUNDDOWN(W151/HLOOKUP(D151,Table!$C$3:$D$4,2,0)*8,2)</f>
        <v>1.44</v>
      </c>
      <c r="Z151" s="15">
        <v>1</v>
      </c>
      <c r="AA151" s="15" t="s">
        <v>21</v>
      </c>
      <c r="AB151" s="19">
        <v>43972</v>
      </c>
      <c r="AC151" s="19">
        <v>43971</v>
      </c>
      <c r="AD151" s="19">
        <v>43972</v>
      </c>
      <c r="AE151" s="19">
        <v>43972</v>
      </c>
      <c r="AF151" s="19">
        <v>43972</v>
      </c>
      <c r="AG151" s="19" t="s">
        <v>177</v>
      </c>
      <c r="AH151" s="31">
        <v>1</v>
      </c>
      <c r="AI151" s="31">
        <v>1</v>
      </c>
      <c r="AJ151" s="31">
        <v>1</v>
      </c>
      <c r="AK151" s="19" t="s">
        <v>151</v>
      </c>
      <c r="AL151" s="15"/>
      <c r="AM151" s="15"/>
      <c r="AN151" s="15"/>
    </row>
    <row r="152" spans="2:40" hidden="1" x14ac:dyDescent="0.25">
      <c r="B152" s="93">
        <f t="shared" si="31"/>
        <v>93</v>
      </c>
      <c r="C152" s="16">
        <v>20200520</v>
      </c>
      <c r="D152" s="15" t="s">
        <v>3</v>
      </c>
      <c r="E152" s="15" t="s">
        <v>393</v>
      </c>
      <c r="F152" s="74" t="s">
        <v>197</v>
      </c>
      <c r="G152" s="17">
        <v>1478344</v>
      </c>
      <c r="H152" s="52" t="s">
        <v>61</v>
      </c>
      <c r="I152" s="15" t="s">
        <v>154</v>
      </c>
      <c r="J152" s="52" t="s">
        <v>61</v>
      </c>
      <c r="K152" s="15" t="s">
        <v>147</v>
      </c>
      <c r="L152" s="15" t="s">
        <v>174</v>
      </c>
      <c r="M152" s="15" t="s">
        <v>151</v>
      </c>
      <c r="N152" s="15" t="s">
        <v>175</v>
      </c>
      <c r="O152" s="17" t="s">
        <v>61</v>
      </c>
      <c r="P152" s="17" t="s">
        <v>153</v>
      </c>
      <c r="Q152" s="18"/>
      <c r="R152" s="52" t="s">
        <v>61</v>
      </c>
      <c r="S152" s="15" t="s">
        <v>64</v>
      </c>
      <c r="T152" s="15"/>
      <c r="U152" s="15"/>
      <c r="V152" s="15">
        <v>42</v>
      </c>
      <c r="W152" s="15">
        <f t="shared" si="36"/>
        <v>42</v>
      </c>
      <c r="X152" s="15">
        <f t="shared" si="37"/>
        <v>42</v>
      </c>
      <c r="Y152" s="15">
        <f>ROUNDDOWN(W152/HLOOKUP(D152,Table!$C$3:$D$4,2,0)*8,2)</f>
        <v>0.74</v>
      </c>
      <c r="Z152" s="15">
        <v>1</v>
      </c>
      <c r="AA152" s="15" t="s">
        <v>21</v>
      </c>
      <c r="AB152" s="19">
        <v>43972</v>
      </c>
      <c r="AC152" s="19">
        <v>43971</v>
      </c>
      <c r="AD152" s="19">
        <v>43972</v>
      </c>
      <c r="AE152" s="19">
        <v>43972</v>
      </c>
      <c r="AF152" s="19">
        <v>43972</v>
      </c>
      <c r="AG152" s="19" t="s">
        <v>177</v>
      </c>
      <c r="AH152" s="31">
        <v>1</v>
      </c>
      <c r="AI152" s="31">
        <v>1</v>
      </c>
      <c r="AJ152" s="31">
        <v>1</v>
      </c>
      <c r="AK152" s="19" t="s">
        <v>151</v>
      </c>
      <c r="AL152" s="15"/>
      <c r="AM152" s="15"/>
      <c r="AN152" s="15"/>
    </row>
    <row r="153" spans="2:40" hidden="1" x14ac:dyDescent="0.25">
      <c r="B153" s="87">
        <f t="shared" si="31"/>
        <v>94</v>
      </c>
      <c r="C153" s="16">
        <v>20200521</v>
      </c>
      <c r="D153" s="15" t="s">
        <v>3</v>
      </c>
      <c r="E153" s="15" t="s">
        <v>407</v>
      </c>
      <c r="F153" s="74" t="s">
        <v>445</v>
      </c>
      <c r="G153" s="17">
        <v>1455638</v>
      </c>
      <c r="H153" s="52" t="s">
        <v>61</v>
      </c>
      <c r="I153" s="15" t="s">
        <v>410</v>
      </c>
      <c r="J153" s="52" t="s">
        <v>61</v>
      </c>
      <c r="K153" s="15" t="s">
        <v>147</v>
      </c>
      <c r="L153" s="15" t="s">
        <v>413</v>
      </c>
      <c r="M153" s="15" t="s">
        <v>151</v>
      </c>
      <c r="N153" s="15" t="s">
        <v>414</v>
      </c>
      <c r="O153" s="17" t="s">
        <v>61</v>
      </c>
      <c r="P153" s="17" t="s">
        <v>210</v>
      </c>
      <c r="Q153" s="18"/>
      <c r="R153" s="52" t="s">
        <v>61</v>
      </c>
      <c r="S153" s="15" t="s">
        <v>65</v>
      </c>
      <c r="T153" s="15"/>
      <c r="U153" s="15"/>
      <c r="V153" s="15">
        <v>66</v>
      </c>
      <c r="W153" s="15">
        <f t="shared" ref="W153:X168" si="38">V153</f>
        <v>66</v>
      </c>
      <c r="X153" s="15">
        <f t="shared" si="38"/>
        <v>66</v>
      </c>
      <c r="Y153" s="15">
        <f>ROUNDDOWN(W153/HLOOKUP(D153,Table!$C$3:$D$4,2,0)*8,2)</f>
        <v>1.17</v>
      </c>
      <c r="Z153" s="15">
        <v>1</v>
      </c>
      <c r="AA153" s="15" t="s">
        <v>74</v>
      </c>
      <c r="AB153" s="19">
        <v>43973</v>
      </c>
      <c r="AC153" s="19">
        <v>43972</v>
      </c>
      <c r="AD153" s="102">
        <v>43973</v>
      </c>
      <c r="AE153" s="19">
        <v>43971</v>
      </c>
      <c r="AF153" s="19">
        <v>43971</v>
      </c>
      <c r="AG153" s="19" t="s">
        <v>177</v>
      </c>
      <c r="AH153" s="31">
        <v>1</v>
      </c>
      <c r="AI153" s="31">
        <v>1</v>
      </c>
      <c r="AJ153" s="31">
        <v>1</v>
      </c>
      <c r="AK153" s="19" t="s">
        <v>151</v>
      </c>
      <c r="AL153" s="15"/>
      <c r="AM153" s="15"/>
      <c r="AN153" s="16"/>
    </row>
    <row r="154" spans="2:40" hidden="1" x14ac:dyDescent="0.25">
      <c r="B154" s="87">
        <f t="shared" si="31"/>
        <v>95</v>
      </c>
      <c r="C154" s="16">
        <v>20200521</v>
      </c>
      <c r="D154" s="15" t="s">
        <v>3</v>
      </c>
      <c r="E154" s="15" t="s">
        <v>407</v>
      </c>
      <c r="F154" s="74" t="s">
        <v>446</v>
      </c>
      <c r="G154" s="17">
        <v>1455638</v>
      </c>
      <c r="H154" s="52" t="s">
        <v>61</v>
      </c>
      <c r="I154" s="15" t="s">
        <v>411</v>
      </c>
      <c r="J154" s="52" t="s">
        <v>61</v>
      </c>
      <c r="K154" s="15" t="s">
        <v>147</v>
      </c>
      <c r="L154" s="15" t="s">
        <v>413</v>
      </c>
      <c r="M154" s="15" t="s">
        <v>151</v>
      </c>
      <c r="N154" s="15" t="s">
        <v>414</v>
      </c>
      <c r="O154" s="17" t="s">
        <v>61</v>
      </c>
      <c r="P154" s="17" t="s">
        <v>210</v>
      </c>
      <c r="Q154" s="18"/>
      <c r="R154" s="52" t="s">
        <v>61</v>
      </c>
      <c r="S154" s="15" t="s">
        <v>65</v>
      </c>
      <c r="T154" s="15"/>
      <c r="U154" s="15"/>
      <c r="V154" s="15">
        <v>149</v>
      </c>
      <c r="W154" s="15">
        <f t="shared" si="38"/>
        <v>149</v>
      </c>
      <c r="X154" s="15">
        <f t="shared" si="38"/>
        <v>149</v>
      </c>
      <c r="Y154" s="15">
        <f>ROUNDDOWN(W154/HLOOKUP(D154,Table!$C$3:$D$4,2,0)*8,2)</f>
        <v>2.64</v>
      </c>
      <c r="Z154" s="15">
        <v>1</v>
      </c>
      <c r="AA154" s="15" t="s">
        <v>74</v>
      </c>
      <c r="AB154" s="19">
        <v>43973</v>
      </c>
      <c r="AC154" s="19">
        <v>43972</v>
      </c>
      <c r="AD154" s="102">
        <v>43973</v>
      </c>
      <c r="AE154" s="19">
        <v>43971</v>
      </c>
      <c r="AF154" s="19">
        <v>43971</v>
      </c>
      <c r="AG154" s="19" t="s">
        <v>177</v>
      </c>
      <c r="AH154" s="31">
        <v>1</v>
      </c>
      <c r="AI154" s="31">
        <v>1</v>
      </c>
      <c r="AJ154" s="31">
        <v>1</v>
      </c>
      <c r="AK154" s="19" t="s">
        <v>151</v>
      </c>
      <c r="AL154" s="15"/>
      <c r="AM154" s="15"/>
      <c r="AN154" s="16"/>
    </row>
    <row r="155" spans="2:40" hidden="1" x14ac:dyDescent="0.25">
      <c r="B155" s="87">
        <f t="shared" si="31"/>
        <v>96</v>
      </c>
      <c r="C155" s="16">
        <v>20200521</v>
      </c>
      <c r="D155" s="15" t="s">
        <v>3</v>
      </c>
      <c r="E155" s="15" t="s">
        <v>407</v>
      </c>
      <c r="F155" s="74" t="s">
        <v>447</v>
      </c>
      <c r="G155" s="17">
        <v>1455638</v>
      </c>
      <c r="H155" s="52" t="s">
        <v>61</v>
      </c>
      <c r="I155" s="15" t="s">
        <v>412</v>
      </c>
      <c r="J155" s="52" t="s">
        <v>61</v>
      </c>
      <c r="K155" s="15" t="s">
        <v>147</v>
      </c>
      <c r="L155" s="15" t="s">
        <v>413</v>
      </c>
      <c r="M155" s="15" t="s">
        <v>151</v>
      </c>
      <c r="N155" s="15" t="s">
        <v>414</v>
      </c>
      <c r="O155" s="17" t="s">
        <v>61</v>
      </c>
      <c r="P155" s="17" t="s">
        <v>210</v>
      </c>
      <c r="Q155" s="18"/>
      <c r="R155" s="52" t="s">
        <v>61</v>
      </c>
      <c r="S155" s="15" t="s">
        <v>65</v>
      </c>
      <c r="T155" s="15"/>
      <c r="U155" s="15"/>
      <c r="V155" s="15">
        <v>4</v>
      </c>
      <c r="W155" s="15">
        <f t="shared" si="38"/>
        <v>4</v>
      </c>
      <c r="X155" s="15">
        <f t="shared" si="38"/>
        <v>4</v>
      </c>
      <c r="Y155" s="15">
        <f>ROUNDDOWN(W155/HLOOKUP(D155,Table!$C$3:$D$4,2,0)*8,2)</f>
        <v>7.0000000000000007E-2</v>
      </c>
      <c r="Z155" s="15">
        <v>0</v>
      </c>
      <c r="AA155" s="15" t="s">
        <v>74</v>
      </c>
      <c r="AB155" s="19">
        <v>43973</v>
      </c>
      <c r="AC155" s="19">
        <v>43972</v>
      </c>
      <c r="AD155" s="102">
        <v>43973</v>
      </c>
      <c r="AE155" s="19">
        <v>43971</v>
      </c>
      <c r="AF155" s="19">
        <v>43971</v>
      </c>
      <c r="AG155" s="19" t="s">
        <v>177</v>
      </c>
      <c r="AH155" s="80" t="s">
        <v>61</v>
      </c>
      <c r="AI155" s="80" t="s">
        <v>61</v>
      </c>
      <c r="AJ155" s="80" t="s">
        <v>61</v>
      </c>
      <c r="AK155" s="19" t="s">
        <v>151</v>
      </c>
      <c r="AL155" s="15"/>
      <c r="AM155" s="15"/>
      <c r="AN155" s="16" t="s">
        <v>195</v>
      </c>
    </row>
    <row r="156" spans="2:40" hidden="1" x14ac:dyDescent="0.25">
      <c r="B156" s="87">
        <f t="shared" si="31"/>
        <v>97</v>
      </c>
      <c r="C156" s="16">
        <v>20200521</v>
      </c>
      <c r="D156" s="15" t="s">
        <v>3</v>
      </c>
      <c r="E156" s="15" t="s">
        <v>408</v>
      </c>
      <c r="F156" s="74" t="s">
        <v>448</v>
      </c>
      <c r="G156" s="17">
        <v>1479500</v>
      </c>
      <c r="H156" s="52" t="s">
        <v>61</v>
      </c>
      <c r="I156" s="15" t="s">
        <v>444</v>
      </c>
      <c r="J156" s="52" t="s">
        <v>61</v>
      </c>
      <c r="K156" s="15" t="s">
        <v>147</v>
      </c>
      <c r="L156" s="15" t="s">
        <v>151</v>
      </c>
      <c r="M156" s="15" t="s">
        <v>409</v>
      </c>
      <c r="N156" s="15" t="s">
        <v>415</v>
      </c>
      <c r="O156" s="17" t="s">
        <v>61</v>
      </c>
      <c r="P156" s="17" t="s">
        <v>232</v>
      </c>
      <c r="Q156" s="18"/>
      <c r="R156" s="52" t="s">
        <v>61</v>
      </c>
      <c r="S156" s="15" t="s">
        <v>65</v>
      </c>
      <c r="T156" s="15"/>
      <c r="U156" s="15"/>
      <c r="V156" s="15">
        <v>825</v>
      </c>
      <c r="W156" s="15">
        <f t="shared" si="38"/>
        <v>825</v>
      </c>
      <c r="X156" s="15">
        <f t="shared" si="38"/>
        <v>825</v>
      </c>
      <c r="Y156" s="15">
        <f>ROUNDDOWN(W156/HLOOKUP(D156,Table!$C$3:$D$4,2,0)*8,2)</f>
        <v>14.66</v>
      </c>
      <c r="Z156" s="15">
        <v>2</v>
      </c>
      <c r="AA156" s="15" t="s">
        <v>74</v>
      </c>
      <c r="AB156" s="19">
        <v>43973</v>
      </c>
      <c r="AC156" s="19">
        <v>43972</v>
      </c>
      <c r="AD156" s="102">
        <v>43973</v>
      </c>
      <c r="AE156" s="19">
        <v>43971</v>
      </c>
      <c r="AF156" s="19">
        <v>43971</v>
      </c>
      <c r="AG156" s="19" t="s">
        <v>177</v>
      </c>
      <c r="AH156" s="31">
        <v>1</v>
      </c>
      <c r="AI156" s="31">
        <v>1</v>
      </c>
      <c r="AJ156" s="31">
        <v>1</v>
      </c>
      <c r="AK156" s="19" t="s">
        <v>151</v>
      </c>
      <c r="AL156" s="15"/>
      <c r="AM156" s="15"/>
      <c r="AN156" s="16"/>
    </row>
    <row r="157" spans="2:40" hidden="1" x14ac:dyDescent="0.25">
      <c r="B157" s="140">
        <f t="shared" si="31"/>
        <v>98</v>
      </c>
      <c r="C157" s="16">
        <v>20200522</v>
      </c>
      <c r="D157" s="15" t="s">
        <v>3</v>
      </c>
      <c r="E157" s="15" t="s">
        <v>420</v>
      </c>
      <c r="F157" s="74" t="s">
        <v>541</v>
      </c>
      <c r="G157" s="17">
        <v>1481262</v>
      </c>
      <c r="H157" s="52" t="s">
        <v>61</v>
      </c>
      <c r="I157" s="15" t="s">
        <v>229</v>
      </c>
      <c r="J157" s="52" t="s">
        <v>61</v>
      </c>
      <c r="K157" s="15" t="s">
        <v>147</v>
      </c>
      <c r="L157" s="15" t="s">
        <v>151</v>
      </c>
      <c r="M157" s="15" t="s">
        <v>151</v>
      </c>
      <c r="N157" s="15" t="s">
        <v>231</v>
      </c>
      <c r="O157" s="17" t="s">
        <v>61</v>
      </c>
      <c r="P157" s="17" t="s">
        <v>232</v>
      </c>
      <c r="Q157" s="18"/>
      <c r="R157" s="52" t="s">
        <v>61</v>
      </c>
      <c r="S157" s="15" t="s">
        <v>65</v>
      </c>
      <c r="T157" s="15"/>
      <c r="U157" s="15"/>
      <c r="V157" s="15">
        <v>106</v>
      </c>
      <c r="W157" s="15">
        <f t="shared" si="38"/>
        <v>106</v>
      </c>
      <c r="X157" s="15">
        <f t="shared" ref="X157:X179" si="39">W157</f>
        <v>106</v>
      </c>
      <c r="Y157" s="15">
        <f>ROUNDDOWN(W157/HLOOKUP(D157,Table!$C$3:$D$4,2,0)*8,2)</f>
        <v>1.88</v>
      </c>
      <c r="Z157" s="15">
        <v>1</v>
      </c>
      <c r="AA157" s="15" t="s">
        <v>21</v>
      </c>
      <c r="AB157" s="19">
        <v>43978</v>
      </c>
      <c r="AC157" s="19">
        <v>43973</v>
      </c>
      <c r="AD157" s="19">
        <v>43984</v>
      </c>
      <c r="AE157" s="19">
        <v>43977</v>
      </c>
      <c r="AF157" s="19">
        <v>43977</v>
      </c>
      <c r="AG157" s="19" t="s">
        <v>177</v>
      </c>
      <c r="AH157" s="31">
        <v>1</v>
      </c>
      <c r="AI157" s="31">
        <v>1</v>
      </c>
      <c r="AJ157" s="31">
        <v>1</v>
      </c>
      <c r="AK157" s="19" t="s">
        <v>151</v>
      </c>
      <c r="AL157" s="15"/>
      <c r="AM157" s="15"/>
      <c r="AN157" s="15"/>
    </row>
    <row r="158" spans="2:40" hidden="1" x14ac:dyDescent="0.25">
      <c r="B158" s="140">
        <f t="shared" si="31"/>
        <v>99</v>
      </c>
      <c r="C158" s="16">
        <v>20200522</v>
      </c>
      <c r="D158" s="15" t="s">
        <v>3</v>
      </c>
      <c r="E158" s="15" t="s">
        <v>421</v>
      </c>
      <c r="F158" s="74" t="s">
        <v>542</v>
      </c>
      <c r="G158" s="17">
        <v>1481558</v>
      </c>
      <c r="H158" s="52" t="s">
        <v>61</v>
      </c>
      <c r="I158" s="15" t="s">
        <v>160</v>
      </c>
      <c r="J158" s="52" t="s">
        <v>61</v>
      </c>
      <c r="K158" s="15" t="s">
        <v>147</v>
      </c>
      <c r="L158" s="15" t="s">
        <v>466</v>
      </c>
      <c r="M158" s="15" t="s">
        <v>442</v>
      </c>
      <c r="N158" s="15" t="s">
        <v>437</v>
      </c>
      <c r="O158" s="17" t="s">
        <v>61</v>
      </c>
      <c r="P158" s="17" t="s">
        <v>434</v>
      </c>
      <c r="Q158" s="18"/>
      <c r="R158" s="52" t="s">
        <v>61</v>
      </c>
      <c r="S158" s="15" t="s">
        <v>65</v>
      </c>
      <c r="T158" s="15"/>
      <c r="U158" s="15"/>
      <c r="V158" s="15">
        <v>42</v>
      </c>
      <c r="W158" s="15">
        <f t="shared" si="38"/>
        <v>42</v>
      </c>
      <c r="X158" s="15">
        <f t="shared" si="39"/>
        <v>42</v>
      </c>
      <c r="Y158" s="15">
        <f>ROUNDDOWN(W158/HLOOKUP(D158,Table!$C$3:$D$4,2,0)*8,2)</f>
        <v>0.74</v>
      </c>
      <c r="Z158" s="15">
        <v>0.5</v>
      </c>
      <c r="AA158" s="15" t="s">
        <v>21</v>
      </c>
      <c r="AB158" s="19">
        <v>43978</v>
      </c>
      <c r="AC158" s="19">
        <v>43973</v>
      </c>
      <c r="AD158" s="19">
        <v>43982</v>
      </c>
      <c r="AE158" s="19">
        <v>43978</v>
      </c>
      <c r="AF158" s="19">
        <v>43978</v>
      </c>
      <c r="AG158" s="19" t="s">
        <v>177</v>
      </c>
      <c r="AH158" s="31">
        <v>1</v>
      </c>
      <c r="AI158" s="31">
        <v>1</v>
      </c>
      <c r="AJ158" s="31">
        <v>1</v>
      </c>
      <c r="AK158" s="19" t="s">
        <v>151</v>
      </c>
      <c r="AL158" s="15"/>
      <c r="AM158" s="15"/>
      <c r="AN158" s="15"/>
    </row>
    <row r="159" spans="2:40" hidden="1" x14ac:dyDescent="0.25">
      <c r="B159" s="140">
        <f t="shared" si="31"/>
        <v>100</v>
      </c>
      <c r="C159" s="16">
        <v>20200522</v>
      </c>
      <c r="D159" s="15" t="s">
        <v>3</v>
      </c>
      <c r="E159" s="15" t="s">
        <v>421</v>
      </c>
      <c r="F159" s="74" t="s">
        <v>543</v>
      </c>
      <c r="G159" s="17">
        <v>1481558</v>
      </c>
      <c r="H159" s="52" t="s">
        <v>61</v>
      </c>
      <c r="I159" s="15" t="s">
        <v>160</v>
      </c>
      <c r="J159" s="52" t="s">
        <v>61</v>
      </c>
      <c r="K159" s="15" t="s">
        <v>147</v>
      </c>
      <c r="L159" s="15" t="s">
        <v>466</v>
      </c>
      <c r="M159" s="15" t="s">
        <v>442</v>
      </c>
      <c r="N159" s="15" t="s">
        <v>437</v>
      </c>
      <c r="O159" s="17" t="s">
        <v>61</v>
      </c>
      <c r="P159" s="17" t="s">
        <v>434</v>
      </c>
      <c r="Q159" s="18"/>
      <c r="R159" s="52" t="s">
        <v>61</v>
      </c>
      <c r="S159" s="15" t="s">
        <v>65</v>
      </c>
      <c r="T159" s="15"/>
      <c r="U159" s="15"/>
      <c r="V159" s="15">
        <v>42</v>
      </c>
      <c r="W159" s="15">
        <f t="shared" si="38"/>
        <v>42</v>
      </c>
      <c r="X159" s="15">
        <f t="shared" si="39"/>
        <v>42</v>
      </c>
      <c r="Y159" s="15">
        <f>ROUNDDOWN(W159/HLOOKUP(D159,Table!$C$3:$D$4,2,0)*8,2)</f>
        <v>0.74</v>
      </c>
      <c r="Z159" s="15">
        <v>0.5</v>
      </c>
      <c r="AA159" s="15" t="s">
        <v>21</v>
      </c>
      <c r="AB159" s="19">
        <v>43978</v>
      </c>
      <c r="AC159" s="19">
        <v>43973</v>
      </c>
      <c r="AD159" s="19">
        <v>43982</v>
      </c>
      <c r="AE159" s="19">
        <v>43978</v>
      </c>
      <c r="AF159" s="19">
        <v>43978</v>
      </c>
      <c r="AG159" s="19" t="s">
        <v>177</v>
      </c>
      <c r="AH159" s="31">
        <v>1</v>
      </c>
      <c r="AI159" s="31">
        <v>1</v>
      </c>
      <c r="AJ159" s="31">
        <v>1</v>
      </c>
      <c r="AK159" s="19" t="s">
        <v>151</v>
      </c>
      <c r="AL159" s="15"/>
      <c r="AM159" s="15"/>
      <c r="AN159" s="15"/>
    </row>
    <row r="160" spans="2:40" hidden="1" x14ac:dyDescent="0.25">
      <c r="B160" s="140">
        <f t="shared" si="31"/>
        <v>101</v>
      </c>
      <c r="C160" s="16">
        <v>20200522</v>
      </c>
      <c r="D160" s="15" t="s">
        <v>3</v>
      </c>
      <c r="E160" s="15" t="s">
        <v>422</v>
      </c>
      <c r="F160" s="74" t="s">
        <v>544</v>
      </c>
      <c r="G160" s="17">
        <v>1479486</v>
      </c>
      <c r="H160" s="52" t="s">
        <v>61</v>
      </c>
      <c r="I160" s="15" t="s">
        <v>211</v>
      </c>
      <c r="J160" s="52" t="s">
        <v>61</v>
      </c>
      <c r="K160" s="15" t="s">
        <v>147</v>
      </c>
      <c r="L160" s="15" t="s">
        <v>151</v>
      </c>
      <c r="M160" s="15" t="s">
        <v>443</v>
      </c>
      <c r="N160" s="15" t="s">
        <v>233</v>
      </c>
      <c r="O160" s="17" t="s">
        <v>61</v>
      </c>
      <c r="P160" s="17" t="s">
        <v>234</v>
      </c>
      <c r="Q160" s="18"/>
      <c r="R160" s="52" t="s">
        <v>61</v>
      </c>
      <c r="S160" s="15" t="s">
        <v>65</v>
      </c>
      <c r="T160" s="15"/>
      <c r="U160" s="15"/>
      <c r="V160" s="15">
        <v>259</v>
      </c>
      <c r="W160" s="15">
        <f t="shared" si="38"/>
        <v>259</v>
      </c>
      <c r="X160" s="15">
        <f t="shared" si="39"/>
        <v>259</v>
      </c>
      <c r="Y160" s="15">
        <f>ROUNDDOWN(W160/HLOOKUP(D160,Table!$C$3:$D$4,2,0)*8,2)</f>
        <v>4.5999999999999996</v>
      </c>
      <c r="Z160" s="15">
        <v>0.5</v>
      </c>
      <c r="AA160" s="15" t="s">
        <v>21</v>
      </c>
      <c r="AB160" s="19">
        <v>43978</v>
      </c>
      <c r="AC160" s="19">
        <v>43973</v>
      </c>
      <c r="AD160" s="19">
        <v>43982</v>
      </c>
      <c r="AE160" s="19">
        <v>43977</v>
      </c>
      <c r="AF160" s="19">
        <v>43977</v>
      </c>
      <c r="AG160" s="19" t="s">
        <v>178</v>
      </c>
      <c r="AH160" s="31">
        <v>1</v>
      </c>
      <c r="AI160" s="31">
        <v>1</v>
      </c>
      <c r="AJ160" s="31">
        <v>0.97</v>
      </c>
      <c r="AK160" s="19" t="s">
        <v>140</v>
      </c>
      <c r="AL160" s="15" t="s">
        <v>720</v>
      </c>
      <c r="AM160" s="15"/>
      <c r="AN160" s="15" t="s">
        <v>725</v>
      </c>
    </row>
    <row r="161" spans="2:40" hidden="1" x14ac:dyDescent="0.25">
      <c r="B161" s="140">
        <f t="shared" si="31"/>
        <v>102</v>
      </c>
      <c r="C161" s="16">
        <v>20200522</v>
      </c>
      <c r="D161" s="15" t="s">
        <v>2</v>
      </c>
      <c r="E161" s="15" t="s">
        <v>423</v>
      </c>
      <c r="F161" s="17" t="s">
        <v>61</v>
      </c>
      <c r="G161" s="17">
        <v>1481813</v>
      </c>
      <c r="H161" s="52" t="s">
        <v>61</v>
      </c>
      <c r="I161" s="15" t="s">
        <v>425</v>
      </c>
      <c r="J161" s="52" t="s">
        <v>61</v>
      </c>
      <c r="K161" s="15" t="s">
        <v>185</v>
      </c>
      <c r="L161" s="17" t="s">
        <v>61</v>
      </c>
      <c r="M161" s="15" t="s">
        <v>309</v>
      </c>
      <c r="N161" s="15" t="s">
        <v>438</v>
      </c>
      <c r="O161" s="17" t="s">
        <v>432</v>
      </c>
      <c r="P161" s="17" t="s">
        <v>435</v>
      </c>
      <c r="Q161" s="18"/>
      <c r="R161" s="52" t="s">
        <v>61</v>
      </c>
      <c r="S161" s="15" t="s">
        <v>64</v>
      </c>
      <c r="T161" s="15"/>
      <c r="U161" s="15"/>
      <c r="V161" s="15">
        <v>30</v>
      </c>
      <c r="W161" s="15">
        <f t="shared" si="38"/>
        <v>30</v>
      </c>
      <c r="X161" s="15">
        <f t="shared" si="39"/>
        <v>30</v>
      </c>
      <c r="Y161" s="15">
        <f>ROUNDDOWN(W161/HLOOKUP(D161,Table!$C$3:$D$4,2,0)*8,2)</f>
        <v>1.84</v>
      </c>
      <c r="Z161" s="15">
        <v>1</v>
      </c>
      <c r="AA161" s="15" t="s">
        <v>21</v>
      </c>
      <c r="AB161" s="19">
        <v>43978</v>
      </c>
      <c r="AC161" s="19">
        <v>43973</v>
      </c>
      <c r="AD161" s="19">
        <v>43983</v>
      </c>
      <c r="AE161" s="19">
        <v>43976</v>
      </c>
      <c r="AF161" s="19">
        <v>43976</v>
      </c>
      <c r="AG161" s="19" t="s">
        <v>178</v>
      </c>
      <c r="AH161" s="31">
        <v>0.77300000000000002</v>
      </c>
      <c r="AI161" s="31">
        <v>0.8</v>
      </c>
      <c r="AJ161" s="31">
        <v>0.75</v>
      </c>
      <c r="AK161" s="19" t="s">
        <v>140</v>
      </c>
      <c r="AL161" s="17" t="s">
        <v>486</v>
      </c>
      <c r="AM161" s="15"/>
      <c r="AN161" s="15" t="s">
        <v>718</v>
      </c>
    </row>
    <row r="162" spans="2:40" hidden="1" x14ac:dyDescent="0.25">
      <c r="B162" s="140">
        <f t="shared" si="31"/>
        <v>103</v>
      </c>
      <c r="C162" s="16">
        <v>20200522</v>
      </c>
      <c r="D162" s="15" t="s">
        <v>2</v>
      </c>
      <c r="E162" s="15" t="s">
        <v>423</v>
      </c>
      <c r="F162" s="17" t="s">
        <v>61</v>
      </c>
      <c r="G162" s="17">
        <v>1482132</v>
      </c>
      <c r="H162" s="52" t="s">
        <v>61</v>
      </c>
      <c r="I162" s="15" t="s">
        <v>426</v>
      </c>
      <c r="J162" s="52" t="s">
        <v>61</v>
      </c>
      <c r="K162" s="15" t="s">
        <v>185</v>
      </c>
      <c r="L162" s="15" t="s">
        <v>61</v>
      </c>
      <c r="M162" s="15" t="s">
        <v>309</v>
      </c>
      <c r="N162" s="15" t="s">
        <v>438</v>
      </c>
      <c r="O162" s="17" t="s">
        <v>433</v>
      </c>
      <c r="P162" s="17" t="s">
        <v>435</v>
      </c>
      <c r="Q162" s="18"/>
      <c r="R162" s="52" t="s">
        <v>61</v>
      </c>
      <c r="S162" s="15" t="s">
        <v>64</v>
      </c>
      <c r="T162" s="15"/>
      <c r="U162" s="15"/>
      <c r="V162" s="15">
        <v>50</v>
      </c>
      <c r="W162" s="15">
        <f t="shared" si="38"/>
        <v>50</v>
      </c>
      <c r="X162" s="15">
        <f t="shared" si="39"/>
        <v>50</v>
      </c>
      <c r="Y162" s="15">
        <f>ROUNDDOWN(W162/HLOOKUP(D162,Table!$C$3:$D$4,2,0)*8,2)</f>
        <v>3.07</v>
      </c>
      <c r="Z162" s="15">
        <v>3</v>
      </c>
      <c r="AA162" s="15" t="s">
        <v>21</v>
      </c>
      <c r="AB162" s="19">
        <v>43978</v>
      </c>
      <c r="AC162" s="19">
        <v>43973</v>
      </c>
      <c r="AD162" s="19">
        <v>43983</v>
      </c>
      <c r="AE162" s="19">
        <v>43976</v>
      </c>
      <c r="AF162" s="19">
        <v>43976</v>
      </c>
      <c r="AG162" s="19" t="s">
        <v>177</v>
      </c>
      <c r="AH162" s="31">
        <v>1</v>
      </c>
      <c r="AI162" s="31">
        <v>1</v>
      </c>
      <c r="AJ162" s="31">
        <v>1</v>
      </c>
      <c r="AK162" s="19" t="s">
        <v>151</v>
      </c>
      <c r="AL162" s="15"/>
      <c r="AM162" s="15"/>
      <c r="AN162" s="15"/>
    </row>
    <row r="163" spans="2:40" hidden="1" x14ac:dyDescent="0.25">
      <c r="B163" s="140">
        <f t="shared" si="31"/>
        <v>104</v>
      </c>
      <c r="C163" s="16">
        <v>20200522</v>
      </c>
      <c r="D163" s="15" t="s">
        <v>3</v>
      </c>
      <c r="E163" s="15" t="s">
        <v>407</v>
      </c>
      <c r="F163" s="74" t="s">
        <v>468</v>
      </c>
      <c r="G163" s="17">
        <v>1479179</v>
      </c>
      <c r="H163" s="52" t="s">
        <v>61</v>
      </c>
      <c r="I163" s="15" t="s">
        <v>427</v>
      </c>
      <c r="J163" s="52" t="s">
        <v>61</v>
      </c>
      <c r="K163" s="15" t="s">
        <v>147</v>
      </c>
      <c r="L163" s="15" t="s">
        <v>440</v>
      </c>
      <c r="M163" s="15"/>
      <c r="N163" s="15" t="s">
        <v>414</v>
      </c>
      <c r="O163" s="17" t="s">
        <v>61</v>
      </c>
      <c r="P163" s="17" t="s">
        <v>436</v>
      </c>
      <c r="Q163" s="18"/>
      <c r="R163" s="52" t="s">
        <v>61</v>
      </c>
      <c r="S163" s="15" t="s">
        <v>65</v>
      </c>
      <c r="T163" s="15"/>
      <c r="U163" s="15"/>
      <c r="V163" s="15">
        <v>26</v>
      </c>
      <c r="W163" s="15">
        <f t="shared" si="38"/>
        <v>26</v>
      </c>
      <c r="X163" s="15">
        <f t="shared" si="39"/>
        <v>26</v>
      </c>
      <c r="Y163" s="15">
        <f>ROUNDDOWN(W163/HLOOKUP(D163,Table!$C$3:$D$4,2,0)*8,2)</f>
        <v>0.46</v>
      </c>
      <c r="Z163" s="15">
        <v>0.5</v>
      </c>
      <c r="AA163" s="15" t="s">
        <v>21</v>
      </c>
      <c r="AB163" s="19">
        <v>43977</v>
      </c>
      <c r="AC163" s="19">
        <v>43973</v>
      </c>
      <c r="AD163" s="19">
        <v>43977</v>
      </c>
      <c r="AE163" s="19">
        <v>43977</v>
      </c>
      <c r="AF163" s="19">
        <v>43977</v>
      </c>
      <c r="AG163" s="19" t="s">
        <v>177</v>
      </c>
      <c r="AH163" s="31">
        <v>1</v>
      </c>
      <c r="AI163" s="31">
        <v>1</v>
      </c>
      <c r="AJ163" s="31">
        <v>1</v>
      </c>
      <c r="AK163" s="19" t="s">
        <v>151</v>
      </c>
      <c r="AL163" s="15"/>
      <c r="AM163" s="15"/>
      <c r="AN163" s="15"/>
    </row>
    <row r="164" spans="2:40" hidden="1" x14ac:dyDescent="0.25">
      <c r="B164" s="140">
        <f t="shared" si="31"/>
        <v>105</v>
      </c>
      <c r="C164" s="16">
        <v>20200522</v>
      </c>
      <c r="D164" s="15" t="s">
        <v>3</v>
      </c>
      <c r="E164" s="15" t="s">
        <v>424</v>
      </c>
      <c r="F164" s="74" t="s">
        <v>469</v>
      </c>
      <c r="G164" s="17">
        <v>1481841</v>
      </c>
      <c r="H164" s="52" t="s">
        <v>61</v>
      </c>
      <c r="I164" s="15" t="s">
        <v>271</v>
      </c>
      <c r="J164" s="52" t="s">
        <v>61</v>
      </c>
      <c r="K164" s="15" t="s">
        <v>147</v>
      </c>
      <c r="L164" s="15" t="s">
        <v>441</v>
      </c>
      <c r="M164" s="15" t="s">
        <v>151</v>
      </c>
      <c r="N164" s="15" t="s">
        <v>439</v>
      </c>
      <c r="O164" s="17" t="s">
        <v>61</v>
      </c>
      <c r="P164" s="17" t="s">
        <v>273</v>
      </c>
      <c r="Q164" s="18"/>
      <c r="R164" s="52" t="s">
        <v>61</v>
      </c>
      <c r="S164" s="15" t="s">
        <v>6</v>
      </c>
      <c r="T164" s="15"/>
      <c r="U164" s="15"/>
      <c r="V164" s="15">
        <v>296</v>
      </c>
      <c r="W164" s="15">
        <f t="shared" si="38"/>
        <v>296</v>
      </c>
      <c r="X164" s="15">
        <f t="shared" si="39"/>
        <v>296</v>
      </c>
      <c r="Y164" s="15">
        <f>ROUNDDOWN(W164/HLOOKUP(D164,Table!$C$3:$D$4,2,0)*8,2)</f>
        <v>5.26</v>
      </c>
      <c r="Z164" s="15">
        <v>2</v>
      </c>
      <c r="AA164" s="15" t="s">
        <v>21</v>
      </c>
      <c r="AB164" s="19">
        <v>43978</v>
      </c>
      <c r="AC164" s="19">
        <v>43973</v>
      </c>
      <c r="AD164" s="19">
        <v>43979</v>
      </c>
      <c r="AE164" s="19">
        <v>43977</v>
      </c>
      <c r="AF164" s="19">
        <v>43977</v>
      </c>
      <c r="AG164" s="19" t="s">
        <v>177</v>
      </c>
      <c r="AH164" s="31">
        <v>1</v>
      </c>
      <c r="AI164" s="31">
        <v>1</v>
      </c>
      <c r="AJ164" s="31">
        <v>1</v>
      </c>
      <c r="AK164" s="19" t="s">
        <v>151</v>
      </c>
      <c r="AL164" s="15"/>
      <c r="AM164" s="15"/>
      <c r="AN164" s="15"/>
    </row>
    <row r="165" spans="2:40" hidden="1" x14ac:dyDescent="0.25">
      <c r="B165" s="140">
        <f t="shared" si="31"/>
        <v>106</v>
      </c>
      <c r="C165" s="16">
        <v>20200522</v>
      </c>
      <c r="D165" s="15" t="s">
        <v>3</v>
      </c>
      <c r="E165" s="15" t="s">
        <v>424</v>
      </c>
      <c r="F165" s="74" t="s">
        <v>470</v>
      </c>
      <c r="G165" s="17">
        <v>1481841</v>
      </c>
      <c r="H165" s="52" t="s">
        <v>61</v>
      </c>
      <c r="I165" s="15" t="s">
        <v>183</v>
      </c>
      <c r="J165" s="52" t="s">
        <v>61</v>
      </c>
      <c r="K165" s="15" t="s">
        <v>147</v>
      </c>
      <c r="L165" s="15" t="s">
        <v>441</v>
      </c>
      <c r="M165" s="15" t="s">
        <v>151</v>
      </c>
      <c r="N165" s="15" t="s">
        <v>439</v>
      </c>
      <c r="O165" s="17" t="s">
        <v>61</v>
      </c>
      <c r="P165" s="17" t="s">
        <v>273</v>
      </c>
      <c r="Q165" s="18"/>
      <c r="R165" s="52" t="s">
        <v>61</v>
      </c>
      <c r="S165" s="15" t="s">
        <v>6</v>
      </c>
      <c r="T165" s="15"/>
      <c r="U165" s="15"/>
      <c r="V165" s="15">
        <v>184</v>
      </c>
      <c r="W165" s="15">
        <f t="shared" si="38"/>
        <v>184</v>
      </c>
      <c r="X165" s="15">
        <f t="shared" si="39"/>
        <v>184</v>
      </c>
      <c r="Y165" s="15">
        <f>ROUNDDOWN(W165/HLOOKUP(D165,Table!$C$3:$D$4,2,0)*8,2)</f>
        <v>3.27</v>
      </c>
      <c r="Z165" s="15">
        <v>1</v>
      </c>
      <c r="AA165" s="15" t="s">
        <v>21</v>
      </c>
      <c r="AB165" s="19">
        <v>43978</v>
      </c>
      <c r="AC165" s="19">
        <v>43973</v>
      </c>
      <c r="AD165" s="19">
        <v>43979</v>
      </c>
      <c r="AE165" s="19">
        <v>43977</v>
      </c>
      <c r="AF165" s="19">
        <v>43977</v>
      </c>
      <c r="AG165" s="19" t="s">
        <v>177</v>
      </c>
      <c r="AH165" s="31">
        <v>1</v>
      </c>
      <c r="AI165" s="31">
        <v>1</v>
      </c>
      <c r="AJ165" s="31">
        <v>1</v>
      </c>
      <c r="AK165" s="19" t="s">
        <v>151</v>
      </c>
      <c r="AL165" s="15"/>
      <c r="AM165" s="15"/>
      <c r="AN165" s="15"/>
    </row>
    <row r="166" spans="2:40" hidden="1" x14ac:dyDescent="0.25">
      <c r="B166" s="140">
        <f t="shared" si="31"/>
        <v>107</v>
      </c>
      <c r="C166" s="16">
        <v>20200522</v>
      </c>
      <c r="D166" s="15" t="s">
        <v>3</v>
      </c>
      <c r="E166" s="15" t="s">
        <v>424</v>
      </c>
      <c r="F166" s="74" t="s">
        <v>471</v>
      </c>
      <c r="G166" s="17">
        <v>1481841</v>
      </c>
      <c r="H166" s="52" t="s">
        <v>61</v>
      </c>
      <c r="I166" s="15" t="s">
        <v>270</v>
      </c>
      <c r="J166" s="52" t="s">
        <v>61</v>
      </c>
      <c r="K166" s="15" t="s">
        <v>147</v>
      </c>
      <c r="L166" s="15" t="s">
        <v>441</v>
      </c>
      <c r="M166" s="15" t="s">
        <v>151</v>
      </c>
      <c r="N166" s="15" t="s">
        <v>439</v>
      </c>
      <c r="O166" s="17" t="s">
        <v>61</v>
      </c>
      <c r="P166" s="17" t="s">
        <v>273</v>
      </c>
      <c r="Q166" s="18"/>
      <c r="R166" s="52" t="s">
        <v>61</v>
      </c>
      <c r="S166" s="15" t="s">
        <v>6</v>
      </c>
      <c r="T166" s="15"/>
      <c r="U166" s="15"/>
      <c r="V166" s="15">
        <v>641</v>
      </c>
      <c r="W166" s="15">
        <f t="shared" si="38"/>
        <v>641</v>
      </c>
      <c r="X166" s="15">
        <f t="shared" si="39"/>
        <v>641</v>
      </c>
      <c r="Y166" s="15">
        <f>ROUNDDOWN(W166/HLOOKUP(D166,Table!$C$3:$D$4,2,0)*8,2)</f>
        <v>11.39</v>
      </c>
      <c r="Z166" s="15">
        <v>4</v>
      </c>
      <c r="AA166" s="15" t="s">
        <v>21</v>
      </c>
      <c r="AB166" s="19">
        <v>43978</v>
      </c>
      <c r="AC166" s="19">
        <v>43973</v>
      </c>
      <c r="AD166" s="19">
        <v>43979</v>
      </c>
      <c r="AE166" s="19">
        <v>43977</v>
      </c>
      <c r="AF166" s="19">
        <v>43977</v>
      </c>
      <c r="AG166" s="19" t="s">
        <v>178</v>
      </c>
      <c r="AH166" s="31">
        <v>0.98</v>
      </c>
      <c r="AI166" s="31">
        <v>0.96</v>
      </c>
      <c r="AJ166" s="31">
        <v>0.9</v>
      </c>
      <c r="AK166" s="19" t="s">
        <v>140</v>
      </c>
      <c r="AL166" s="15" t="s">
        <v>608</v>
      </c>
      <c r="AM166" s="15"/>
      <c r="AN166" s="15" t="s">
        <v>718</v>
      </c>
    </row>
    <row r="167" spans="2:40" x14ac:dyDescent="0.25">
      <c r="B167" s="140">
        <f t="shared" si="31"/>
        <v>108</v>
      </c>
      <c r="C167" s="16">
        <v>20200522</v>
      </c>
      <c r="D167" s="15" t="s">
        <v>3</v>
      </c>
      <c r="E167" s="15" t="s">
        <v>424</v>
      </c>
      <c r="F167" s="74" t="s">
        <v>472</v>
      </c>
      <c r="G167" s="17">
        <v>1481841</v>
      </c>
      <c r="H167" s="52" t="s">
        <v>61</v>
      </c>
      <c r="I167" s="15" t="s">
        <v>428</v>
      </c>
      <c r="J167" s="52" t="s">
        <v>61</v>
      </c>
      <c r="K167" s="15" t="s">
        <v>147</v>
      </c>
      <c r="L167" s="15" t="s">
        <v>441</v>
      </c>
      <c r="M167" s="15" t="s">
        <v>151</v>
      </c>
      <c r="N167" s="15" t="s">
        <v>439</v>
      </c>
      <c r="O167" s="17" t="s">
        <v>61</v>
      </c>
      <c r="P167" s="17" t="s">
        <v>273</v>
      </c>
      <c r="Q167" s="18"/>
      <c r="R167" s="52" t="s">
        <v>61</v>
      </c>
      <c r="S167" s="15" t="s">
        <v>143</v>
      </c>
      <c r="T167" s="15"/>
      <c r="U167" s="15"/>
      <c r="V167" s="15">
        <v>25</v>
      </c>
      <c r="W167" s="15">
        <f t="shared" si="38"/>
        <v>25</v>
      </c>
      <c r="X167" s="15">
        <f t="shared" si="39"/>
        <v>25</v>
      </c>
      <c r="Y167" s="15">
        <f>ROUNDDOWN(W167/HLOOKUP(D167,Table!$C$3:$D$4,2,0)*8,2)</f>
        <v>0.44</v>
      </c>
      <c r="Z167" s="15">
        <v>0.1</v>
      </c>
      <c r="AA167" s="15" t="s">
        <v>21</v>
      </c>
      <c r="AB167" s="19">
        <v>43978</v>
      </c>
      <c r="AC167" s="19">
        <v>43973</v>
      </c>
      <c r="AD167" s="19">
        <v>43979</v>
      </c>
      <c r="AE167" s="19">
        <v>43977</v>
      </c>
      <c r="AF167" s="19">
        <v>43977</v>
      </c>
      <c r="AG167" s="19" t="s">
        <v>177</v>
      </c>
      <c r="AH167" s="80" t="s">
        <v>61</v>
      </c>
      <c r="AI167" s="80" t="s">
        <v>61</v>
      </c>
      <c r="AJ167" s="80" t="s">
        <v>61</v>
      </c>
      <c r="AK167" s="19" t="s">
        <v>151</v>
      </c>
      <c r="AL167" s="131" t="s">
        <v>61</v>
      </c>
      <c r="AM167" s="131" t="s">
        <v>61</v>
      </c>
      <c r="AN167" s="170" t="s">
        <v>195</v>
      </c>
    </row>
    <row r="168" spans="2:40" x14ac:dyDescent="0.25">
      <c r="B168" s="140">
        <f t="shared" si="31"/>
        <v>109</v>
      </c>
      <c r="C168" s="16">
        <v>20200522</v>
      </c>
      <c r="D168" s="15" t="s">
        <v>3</v>
      </c>
      <c r="E168" s="15" t="s">
        <v>424</v>
      </c>
      <c r="F168" s="74" t="s">
        <v>473</v>
      </c>
      <c r="G168" s="17">
        <v>1481841</v>
      </c>
      <c r="H168" s="52" t="s">
        <v>61</v>
      </c>
      <c r="I168" s="15" t="s">
        <v>202</v>
      </c>
      <c r="J168" s="52" t="s">
        <v>61</v>
      </c>
      <c r="K168" s="15" t="s">
        <v>147</v>
      </c>
      <c r="L168" s="15" t="s">
        <v>441</v>
      </c>
      <c r="M168" s="15" t="s">
        <v>151</v>
      </c>
      <c r="N168" s="15" t="s">
        <v>439</v>
      </c>
      <c r="O168" s="17" t="s">
        <v>61</v>
      </c>
      <c r="P168" s="17" t="s">
        <v>273</v>
      </c>
      <c r="Q168" s="18"/>
      <c r="R168" s="52" t="s">
        <v>61</v>
      </c>
      <c r="S168" s="15" t="s">
        <v>143</v>
      </c>
      <c r="T168" s="15"/>
      <c r="U168" s="15"/>
      <c r="V168" s="15">
        <v>220</v>
      </c>
      <c r="W168" s="15">
        <f t="shared" si="38"/>
        <v>220</v>
      </c>
      <c r="X168" s="15">
        <f t="shared" si="39"/>
        <v>220</v>
      </c>
      <c r="Y168" s="15">
        <f>ROUNDDOWN(W168/HLOOKUP(D168,Table!$C$3:$D$4,2,0)*8,2)</f>
        <v>3.91</v>
      </c>
      <c r="Z168" s="15">
        <v>2</v>
      </c>
      <c r="AA168" s="15" t="s">
        <v>21</v>
      </c>
      <c r="AB168" s="19">
        <v>43978</v>
      </c>
      <c r="AC168" s="19">
        <v>43973</v>
      </c>
      <c r="AD168" s="19">
        <v>43979</v>
      </c>
      <c r="AE168" s="19">
        <v>43977</v>
      </c>
      <c r="AF168" s="19">
        <v>43977</v>
      </c>
      <c r="AG168" s="19" t="s">
        <v>177</v>
      </c>
      <c r="AH168" s="31">
        <v>1</v>
      </c>
      <c r="AI168" s="31">
        <v>1</v>
      </c>
      <c r="AJ168" s="31">
        <v>1</v>
      </c>
      <c r="AK168" s="19" t="s">
        <v>151</v>
      </c>
      <c r="AL168" s="131" t="s">
        <v>61</v>
      </c>
      <c r="AM168" s="131" t="s">
        <v>61</v>
      </c>
      <c r="AN168" s="15" t="s">
        <v>61</v>
      </c>
    </row>
    <row r="169" spans="2:40" x14ac:dyDescent="0.25">
      <c r="B169" s="140">
        <f t="shared" si="31"/>
        <v>110</v>
      </c>
      <c r="C169" s="16">
        <v>20200522</v>
      </c>
      <c r="D169" s="15" t="s">
        <v>3</v>
      </c>
      <c r="E169" s="15" t="s">
        <v>424</v>
      </c>
      <c r="F169" s="74" t="s">
        <v>474</v>
      </c>
      <c r="G169" s="17">
        <v>1481841</v>
      </c>
      <c r="H169" s="52" t="s">
        <v>61</v>
      </c>
      <c r="I169" s="15" t="s">
        <v>429</v>
      </c>
      <c r="J169" s="52" t="s">
        <v>61</v>
      </c>
      <c r="K169" s="15" t="s">
        <v>147</v>
      </c>
      <c r="L169" s="15" t="s">
        <v>441</v>
      </c>
      <c r="M169" s="15" t="s">
        <v>151</v>
      </c>
      <c r="N169" s="15" t="s">
        <v>439</v>
      </c>
      <c r="O169" s="17" t="s">
        <v>61</v>
      </c>
      <c r="P169" s="17" t="s">
        <v>273</v>
      </c>
      <c r="Q169" s="18"/>
      <c r="R169" s="52" t="s">
        <v>61</v>
      </c>
      <c r="S169" s="15" t="s">
        <v>143</v>
      </c>
      <c r="T169" s="15"/>
      <c r="U169" s="15"/>
      <c r="V169" s="15">
        <v>7</v>
      </c>
      <c r="W169" s="15">
        <f t="shared" ref="W169:W174" si="40">V169</f>
        <v>7</v>
      </c>
      <c r="X169" s="15">
        <f t="shared" si="39"/>
        <v>7</v>
      </c>
      <c r="Y169" s="15">
        <f>ROUNDDOWN(W169/HLOOKUP(D169,Table!$C$3:$D$4,2,0)*8,2)</f>
        <v>0.12</v>
      </c>
      <c r="Z169" s="15">
        <v>0.1</v>
      </c>
      <c r="AA169" s="15" t="s">
        <v>21</v>
      </c>
      <c r="AB169" s="19">
        <v>43978</v>
      </c>
      <c r="AC169" s="19">
        <v>43973</v>
      </c>
      <c r="AD169" s="19">
        <v>43979</v>
      </c>
      <c r="AE169" s="19">
        <v>43977</v>
      </c>
      <c r="AF169" s="19">
        <v>43977</v>
      </c>
      <c r="AG169" s="19" t="s">
        <v>177</v>
      </c>
      <c r="AH169" s="31">
        <v>1</v>
      </c>
      <c r="AI169" s="31">
        <v>1</v>
      </c>
      <c r="AJ169" s="31">
        <v>1</v>
      </c>
      <c r="AK169" s="19" t="s">
        <v>151</v>
      </c>
      <c r="AL169" s="131" t="s">
        <v>61</v>
      </c>
      <c r="AM169" s="131" t="s">
        <v>61</v>
      </c>
      <c r="AN169" s="15" t="s">
        <v>61</v>
      </c>
    </row>
    <row r="170" spans="2:40" x14ac:dyDescent="0.25">
      <c r="B170" s="140">
        <f t="shared" si="31"/>
        <v>111</v>
      </c>
      <c r="C170" s="16">
        <v>20200522</v>
      </c>
      <c r="D170" s="15" t="s">
        <v>3</v>
      </c>
      <c r="E170" s="15" t="s">
        <v>424</v>
      </c>
      <c r="F170" s="74" t="s">
        <v>475</v>
      </c>
      <c r="G170" s="17">
        <v>1481841</v>
      </c>
      <c r="H170" s="52" t="s">
        <v>61</v>
      </c>
      <c r="I170" s="15" t="s">
        <v>430</v>
      </c>
      <c r="J170" s="52" t="s">
        <v>61</v>
      </c>
      <c r="K170" s="15" t="s">
        <v>147</v>
      </c>
      <c r="L170" s="15" t="s">
        <v>441</v>
      </c>
      <c r="M170" s="15" t="s">
        <v>151</v>
      </c>
      <c r="N170" s="15" t="s">
        <v>439</v>
      </c>
      <c r="O170" s="17" t="s">
        <v>61</v>
      </c>
      <c r="P170" s="17" t="s">
        <v>273</v>
      </c>
      <c r="Q170" s="18"/>
      <c r="R170" s="52" t="s">
        <v>61</v>
      </c>
      <c r="S170" s="15" t="s">
        <v>143</v>
      </c>
      <c r="T170" s="15"/>
      <c r="U170" s="15"/>
      <c r="V170" s="15">
        <v>7</v>
      </c>
      <c r="W170" s="15">
        <f t="shared" si="40"/>
        <v>7</v>
      </c>
      <c r="X170" s="15">
        <f t="shared" si="39"/>
        <v>7</v>
      </c>
      <c r="Y170" s="15">
        <f>ROUNDDOWN(W170/HLOOKUP(D170,Table!$C$3:$D$4,2,0)*8,2)</f>
        <v>0.12</v>
      </c>
      <c r="Z170" s="15">
        <v>0.1</v>
      </c>
      <c r="AA170" s="15" t="s">
        <v>21</v>
      </c>
      <c r="AB170" s="19">
        <v>43978</v>
      </c>
      <c r="AC170" s="19">
        <v>43973</v>
      </c>
      <c r="AD170" s="19">
        <v>43979</v>
      </c>
      <c r="AE170" s="19">
        <v>43977</v>
      </c>
      <c r="AF170" s="19">
        <v>43977</v>
      </c>
      <c r="AG170" s="19" t="s">
        <v>177</v>
      </c>
      <c r="AH170" s="31">
        <v>1</v>
      </c>
      <c r="AI170" s="31">
        <v>1</v>
      </c>
      <c r="AJ170" s="31">
        <v>1</v>
      </c>
      <c r="AK170" s="19" t="s">
        <v>151</v>
      </c>
      <c r="AL170" s="131" t="s">
        <v>61</v>
      </c>
      <c r="AM170" s="131" t="s">
        <v>61</v>
      </c>
      <c r="AN170" s="15" t="s">
        <v>61</v>
      </c>
    </row>
    <row r="171" spans="2:40" x14ac:dyDescent="0.25">
      <c r="B171" s="140">
        <f t="shared" si="31"/>
        <v>112</v>
      </c>
      <c r="C171" s="16">
        <v>20200522</v>
      </c>
      <c r="D171" s="15" t="s">
        <v>3</v>
      </c>
      <c r="E171" s="15" t="s">
        <v>424</v>
      </c>
      <c r="F171" s="74" t="s">
        <v>476</v>
      </c>
      <c r="G171" s="17">
        <v>1481841</v>
      </c>
      <c r="H171" s="52" t="s">
        <v>61</v>
      </c>
      <c r="I171" s="15" t="s">
        <v>431</v>
      </c>
      <c r="J171" s="52" t="s">
        <v>61</v>
      </c>
      <c r="K171" s="15" t="s">
        <v>147</v>
      </c>
      <c r="L171" s="15" t="s">
        <v>441</v>
      </c>
      <c r="M171" s="15" t="s">
        <v>151</v>
      </c>
      <c r="N171" s="15" t="s">
        <v>439</v>
      </c>
      <c r="O171" s="17" t="s">
        <v>61</v>
      </c>
      <c r="P171" s="17" t="s">
        <v>273</v>
      </c>
      <c r="Q171" s="18"/>
      <c r="R171" s="52" t="s">
        <v>61</v>
      </c>
      <c r="S171" s="15" t="s">
        <v>143</v>
      </c>
      <c r="T171" s="15"/>
      <c r="U171" s="15"/>
      <c r="V171" s="15">
        <v>7</v>
      </c>
      <c r="W171" s="15">
        <f t="shared" si="40"/>
        <v>7</v>
      </c>
      <c r="X171" s="15">
        <f t="shared" si="39"/>
        <v>7</v>
      </c>
      <c r="Y171" s="15">
        <f>ROUNDDOWN(W171/HLOOKUP(D171,Table!$C$3:$D$4,2,0)*8,2)</f>
        <v>0.12</v>
      </c>
      <c r="Z171" s="15">
        <v>0.1</v>
      </c>
      <c r="AA171" s="15" t="s">
        <v>21</v>
      </c>
      <c r="AB171" s="19">
        <v>43978</v>
      </c>
      <c r="AC171" s="19">
        <v>43973</v>
      </c>
      <c r="AD171" s="19">
        <v>43979</v>
      </c>
      <c r="AE171" s="19">
        <v>43977</v>
      </c>
      <c r="AF171" s="19">
        <v>43977</v>
      </c>
      <c r="AG171" s="19" t="s">
        <v>177</v>
      </c>
      <c r="AH171" s="31">
        <v>1</v>
      </c>
      <c r="AI171" s="31">
        <v>1</v>
      </c>
      <c r="AJ171" s="31">
        <v>1</v>
      </c>
      <c r="AK171" s="19" t="s">
        <v>151</v>
      </c>
      <c r="AL171" s="131" t="s">
        <v>61</v>
      </c>
      <c r="AM171" s="131" t="s">
        <v>61</v>
      </c>
      <c r="AN171" s="15" t="s">
        <v>61</v>
      </c>
    </row>
    <row r="172" spans="2:40" x14ac:dyDescent="0.25">
      <c r="B172" s="140">
        <f t="shared" si="31"/>
        <v>113</v>
      </c>
      <c r="C172" s="16">
        <v>20200522</v>
      </c>
      <c r="D172" s="15" t="s">
        <v>3</v>
      </c>
      <c r="E172" s="15" t="s">
        <v>424</v>
      </c>
      <c r="F172" s="74" t="s">
        <v>477</v>
      </c>
      <c r="G172" s="17">
        <v>1481841</v>
      </c>
      <c r="H172" s="52" t="s">
        <v>61</v>
      </c>
      <c r="I172" s="15" t="s">
        <v>217</v>
      </c>
      <c r="J172" s="52" t="s">
        <v>61</v>
      </c>
      <c r="K172" s="15" t="s">
        <v>147</v>
      </c>
      <c r="L172" s="15" t="s">
        <v>441</v>
      </c>
      <c r="M172" s="15" t="s">
        <v>151</v>
      </c>
      <c r="N172" s="15" t="s">
        <v>439</v>
      </c>
      <c r="O172" s="17" t="s">
        <v>61</v>
      </c>
      <c r="P172" s="17" t="s">
        <v>273</v>
      </c>
      <c r="Q172" s="18"/>
      <c r="R172" s="52" t="s">
        <v>61</v>
      </c>
      <c r="S172" s="15" t="s">
        <v>143</v>
      </c>
      <c r="T172" s="15"/>
      <c r="U172" s="15"/>
      <c r="V172" s="15">
        <v>259</v>
      </c>
      <c r="W172" s="15">
        <f t="shared" si="40"/>
        <v>259</v>
      </c>
      <c r="X172" s="15">
        <f t="shared" si="39"/>
        <v>259</v>
      </c>
      <c r="Y172" s="15">
        <f>ROUNDDOWN(W172/HLOOKUP(D172,Table!$C$3:$D$4,2,0)*8,2)</f>
        <v>4.5999999999999996</v>
      </c>
      <c r="Z172" s="15">
        <v>1</v>
      </c>
      <c r="AA172" s="15" t="s">
        <v>21</v>
      </c>
      <c r="AB172" s="19">
        <v>43978</v>
      </c>
      <c r="AC172" s="19">
        <v>43973</v>
      </c>
      <c r="AD172" s="19">
        <v>43979</v>
      </c>
      <c r="AE172" s="19">
        <v>43977</v>
      </c>
      <c r="AF172" s="19">
        <v>43977</v>
      </c>
      <c r="AG172" s="19" t="s">
        <v>178</v>
      </c>
      <c r="AH172" s="31">
        <v>1</v>
      </c>
      <c r="AI172" s="31">
        <v>1</v>
      </c>
      <c r="AJ172" s="31">
        <v>0.84</v>
      </c>
      <c r="AK172" s="19" t="s">
        <v>140</v>
      </c>
      <c r="AL172" s="17" t="s">
        <v>607</v>
      </c>
      <c r="AM172" s="15"/>
      <c r="AN172" s="17" t="s">
        <v>662</v>
      </c>
    </row>
    <row r="173" spans="2:40" hidden="1" x14ac:dyDescent="0.25">
      <c r="B173" s="140">
        <f t="shared" si="31"/>
        <v>114</v>
      </c>
      <c r="C173" s="16">
        <v>20200522</v>
      </c>
      <c r="D173" s="15" t="s">
        <v>3</v>
      </c>
      <c r="E173" s="15" t="s">
        <v>424</v>
      </c>
      <c r="F173" s="74" t="s">
        <v>478</v>
      </c>
      <c r="G173" s="17">
        <v>1481841</v>
      </c>
      <c r="H173" s="52" t="s">
        <v>61</v>
      </c>
      <c r="I173" s="15" t="s">
        <v>198</v>
      </c>
      <c r="J173" s="52" t="s">
        <v>61</v>
      </c>
      <c r="K173" s="15" t="s">
        <v>147</v>
      </c>
      <c r="L173" s="15" t="s">
        <v>441</v>
      </c>
      <c r="M173" s="15" t="s">
        <v>151</v>
      </c>
      <c r="N173" s="15" t="s">
        <v>439</v>
      </c>
      <c r="O173" s="17" t="s">
        <v>61</v>
      </c>
      <c r="P173" s="17" t="s">
        <v>273</v>
      </c>
      <c r="Q173" s="18"/>
      <c r="R173" s="52" t="s">
        <v>61</v>
      </c>
      <c r="S173" s="15" t="s">
        <v>6</v>
      </c>
      <c r="T173" s="15"/>
      <c r="U173" s="15"/>
      <c r="V173" s="15">
        <v>371</v>
      </c>
      <c r="W173" s="15">
        <f t="shared" si="40"/>
        <v>371</v>
      </c>
      <c r="X173" s="15">
        <f t="shared" si="39"/>
        <v>371</v>
      </c>
      <c r="Y173" s="15">
        <f>ROUNDDOWN(W173/HLOOKUP(D173,Table!$C$3:$D$4,2,0)*8,2)</f>
        <v>6.59</v>
      </c>
      <c r="Z173" s="15">
        <v>1</v>
      </c>
      <c r="AA173" s="15" t="s">
        <v>21</v>
      </c>
      <c r="AB173" s="19">
        <v>43978</v>
      </c>
      <c r="AC173" s="19">
        <v>43973</v>
      </c>
      <c r="AD173" s="19">
        <v>43979</v>
      </c>
      <c r="AE173" s="19">
        <v>43978</v>
      </c>
      <c r="AF173" s="19">
        <v>43978</v>
      </c>
      <c r="AG173" s="19" t="s">
        <v>177</v>
      </c>
      <c r="AH173" s="31">
        <v>1</v>
      </c>
      <c r="AI173" s="31">
        <v>1</v>
      </c>
      <c r="AJ173" s="31">
        <v>1</v>
      </c>
      <c r="AK173" s="19" t="s">
        <v>151</v>
      </c>
      <c r="AL173" s="15"/>
      <c r="AM173" s="15"/>
      <c r="AN173" s="15"/>
    </row>
    <row r="174" spans="2:40" x14ac:dyDescent="0.25">
      <c r="B174" s="140">
        <f t="shared" si="31"/>
        <v>115</v>
      </c>
      <c r="C174" s="16">
        <v>20200522</v>
      </c>
      <c r="D174" s="15" t="s">
        <v>3</v>
      </c>
      <c r="E174" s="15" t="s">
        <v>424</v>
      </c>
      <c r="F174" s="74" t="s">
        <v>479</v>
      </c>
      <c r="G174" s="17">
        <v>1481841</v>
      </c>
      <c r="H174" s="52" t="s">
        <v>61</v>
      </c>
      <c r="I174" s="15" t="s">
        <v>199</v>
      </c>
      <c r="J174" s="52" t="s">
        <v>61</v>
      </c>
      <c r="K174" s="15" t="s">
        <v>147</v>
      </c>
      <c r="L174" s="15" t="s">
        <v>441</v>
      </c>
      <c r="M174" s="15" t="s">
        <v>151</v>
      </c>
      <c r="N174" s="15" t="s">
        <v>439</v>
      </c>
      <c r="O174" s="17" t="s">
        <v>61</v>
      </c>
      <c r="P174" s="17" t="s">
        <v>273</v>
      </c>
      <c r="Q174" s="18"/>
      <c r="R174" s="52" t="s">
        <v>61</v>
      </c>
      <c r="S174" s="15" t="s">
        <v>143</v>
      </c>
      <c r="T174" s="15"/>
      <c r="U174" s="15"/>
      <c r="V174" s="15">
        <v>115</v>
      </c>
      <c r="W174" s="15">
        <f t="shared" si="40"/>
        <v>115</v>
      </c>
      <c r="X174" s="15">
        <f t="shared" si="39"/>
        <v>115</v>
      </c>
      <c r="Y174" s="15">
        <f>ROUNDDOWN(W174/HLOOKUP(D174,Table!$C$3:$D$4,2,0)*8,2)</f>
        <v>2.04</v>
      </c>
      <c r="Z174" s="15">
        <v>0.5</v>
      </c>
      <c r="AA174" s="15" t="s">
        <v>21</v>
      </c>
      <c r="AB174" s="19">
        <v>43978</v>
      </c>
      <c r="AC174" s="19">
        <v>43973</v>
      </c>
      <c r="AD174" s="19">
        <v>43979</v>
      </c>
      <c r="AE174" s="19">
        <v>43977</v>
      </c>
      <c r="AF174" s="19">
        <v>43977</v>
      </c>
      <c r="AG174" s="19" t="s">
        <v>177</v>
      </c>
      <c r="AH174" s="31">
        <v>1</v>
      </c>
      <c r="AI174" s="31">
        <v>1</v>
      </c>
      <c r="AJ174" s="31">
        <v>1</v>
      </c>
      <c r="AK174" s="19" t="s">
        <v>151</v>
      </c>
      <c r="AL174" s="17" t="s">
        <v>61</v>
      </c>
      <c r="AM174" s="17" t="s">
        <v>61</v>
      </c>
      <c r="AN174" s="17" t="s">
        <v>61</v>
      </c>
    </row>
    <row r="175" spans="2:40" hidden="1" x14ac:dyDescent="0.25">
      <c r="B175" s="141">
        <f t="shared" si="31"/>
        <v>116</v>
      </c>
      <c r="C175" s="16">
        <v>20200522</v>
      </c>
      <c r="D175" s="15" t="s">
        <v>3</v>
      </c>
      <c r="E175" s="15" t="s">
        <v>450</v>
      </c>
      <c r="F175" s="74" t="s">
        <v>722</v>
      </c>
      <c r="G175" s="17">
        <v>1482572</v>
      </c>
      <c r="H175" s="52" t="s">
        <v>61</v>
      </c>
      <c r="I175" s="15" t="s">
        <v>229</v>
      </c>
      <c r="J175" s="52" t="s">
        <v>61</v>
      </c>
      <c r="K175" s="15" t="s">
        <v>147</v>
      </c>
      <c r="L175" s="15" t="s">
        <v>461</v>
      </c>
      <c r="M175" s="15" t="s">
        <v>442</v>
      </c>
      <c r="N175" s="15" t="s">
        <v>462</v>
      </c>
      <c r="O175" s="17" t="s">
        <v>61</v>
      </c>
      <c r="P175" s="17" t="s">
        <v>458</v>
      </c>
      <c r="Q175" s="18"/>
      <c r="R175" s="52" t="s">
        <v>61</v>
      </c>
      <c r="S175" s="15" t="s">
        <v>70</v>
      </c>
      <c r="T175" s="15"/>
      <c r="U175" s="15"/>
      <c r="V175" s="15">
        <v>20</v>
      </c>
      <c r="W175" s="15">
        <f>V175</f>
        <v>20</v>
      </c>
      <c r="X175" s="15">
        <f t="shared" si="39"/>
        <v>20</v>
      </c>
      <c r="Y175" s="15">
        <f>ROUNDDOWN(W175/HLOOKUP(D175,Table!$C$3:$D$4,2,0)*8,2)</f>
        <v>0.35</v>
      </c>
      <c r="Z175" s="15">
        <v>0.5</v>
      </c>
      <c r="AA175" s="15" t="s">
        <v>21</v>
      </c>
      <c r="AB175" s="19">
        <v>43977</v>
      </c>
      <c r="AC175" s="19">
        <v>43973</v>
      </c>
      <c r="AD175" s="102">
        <v>43977</v>
      </c>
      <c r="AE175" s="19">
        <v>43977</v>
      </c>
      <c r="AF175" s="19">
        <v>43977</v>
      </c>
      <c r="AG175" s="19" t="s">
        <v>177</v>
      </c>
      <c r="AH175" s="31">
        <v>1</v>
      </c>
      <c r="AI175" s="31">
        <v>1</v>
      </c>
      <c r="AJ175" s="31">
        <v>1</v>
      </c>
      <c r="AK175" s="19" t="s">
        <v>151</v>
      </c>
      <c r="AL175" s="113" t="s">
        <v>61</v>
      </c>
      <c r="AM175" s="113" t="s">
        <v>61</v>
      </c>
      <c r="AN175" s="113" t="s">
        <v>61</v>
      </c>
    </row>
    <row r="176" spans="2:40" hidden="1" x14ac:dyDescent="0.25">
      <c r="B176" s="141">
        <f t="shared" si="31"/>
        <v>117</v>
      </c>
      <c r="C176" s="16">
        <v>20200522</v>
      </c>
      <c r="D176" s="15" t="s">
        <v>3</v>
      </c>
      <c r="E176" s="15" t="s">
        <v>449</v>
      </c>
      <c r="F176" s="74" t="s">
        <v>480</v>
      </c>
      <c r="G176" s="17">
        <v>1481766</v>
      </c>
      <c r="H176" s="52" t="s">
        <v>61</v>
      </c>
      <c r="I176" s="15" t="s">
        <v>451</v>
      </c>
      <c r="J176" s="52" t="s">
        <v>61</v>
      </c>
      <c r="K176" s="15" t="s">
        <v>147</v>
      </c>
      <c r="L176" s="15" t="s">
        <v>467</v>
      </c>
      <c r="M176" s="15" t="s">
        <v>151</v>
      </c>
      <c r="N176" s="15" t="s">
        <v>231</v>
      </c>
      <c r="O176" s="17" t="s">
        <v>61</v>
      </c>
      <c r="P176" s="17" t="s">
        <v>457</v>
      </c>
      <c r="Q176" s="18"/>
      <c r="R176" s="52" t="s">
        <v>61</v>
      </c>
      <c r="S176" s="15" t="s">
        <v>70</v>
      </c>
      <c r="T176" s="15"/>
      <c r="U176" s="15"/>
      <c r="V176" s="15">
        <v>43</v>
      </c>
      <c r="W176" s="15">
        <f>V176</f>
        <v>43</v>
      </c>
      <c r="X176" s="15">
        <f t="shared" si="39"/>
        <v>43</v>
      </c>
      <c r="Y176" s="15">
        <f>ROUNDDOWN(W176/HLOOKUP(D176,Table!$C$3:$D$4,2,0)*8,2)</f>
        <v>0.76</v>
      </c>
      <c r="Z176" s="15">
        <v>0.5</v>
      </c>
      <c r="AA176" s="15" t="s">
        <v>18</v>
      </c>
      <c r="AB176" s="19"/>
      <c r="AC176" s="19">
        <v>43973</v>
      </c>
      <c r="AD176" s="19">
        <v>43982</v>
      </c>
      <c r="AE176" s="19">
        <v>43976</v>
      </c>
      <c r="AF176" s="19">
        <v>43976</v>
      </c>
      <c r="AG176" s="19" t="s">
        <v>177</v>
      </c>
      <c r="AH176" s="31">
        <v>1</v>
      </c>
      <c r="AI176" s="31">
        <v>1</v>
      </c>
      <c r="AJ176" s="31">
        <v>1</v>
      </c>
      <c r="AK176" s="19" t="s">
        <v>151</v>
      </c>
      <c r="AL176" s="113" t="s">
        <v>61</v>
      </c>
      <c r="AM176" s="113" t="s">
        <v>61</v>
      </c>
      <c r="AN176" s="113" t="s">
        <v>61</v>
      </c>
    </row>
    <row r="177" spans="2:40" hidden="1" x14ac:dyDescent="0.25">
      <c r="B177" s="141">
        <f t="shared" si="31"/>
        <v>118</v>
      </c>
      <c r="C177" s="16">
        <v>20200522</v>
      </c>
      <c r="D177" s="15" t="s">
        <v>3</v>
      </c>
      <c r="E177" s="15" t="s">
        <v>449</v>
      </c>
      <c r="F177" s="74" t="s">
        <v>481</v>
      </c>
      <c r="G177" s="17">
        <v>1481766</v>
      </c>
      <c r="H177" s="52" t="s">
        <v>61</v>
      </c>
      <c r="I177" s="15" t="s">
        <v>452</v>
      </c>
      <c r="J177" s="52" t="s">
        <v>61</v>
      </c>
      <c r="K177" s="15" t="s">
        <v>147</v>
      </c>
      <c r="L177" s="15" t="s">
        <v>467</v>
      </c>
      <c r="M177" s="15" t="s">
        <v>151</v>
      </c>
      <c r="N177" s="15" t="s">
        <v>231</v>
      </c>
      <c r="O177" s="17" t="s">
        <v>61</v>
      </c>
      <c r="P177" s="17" t="s">
        <v>457</v>
      </c>
      <c r="Q177" s="18"/>
      <c r="R177" s="52" t="s">
        <v>61</v>
      </c>
      <c r="S177" s="15" t="s">
        <v>70</v>
      </c>
      <c r="T177" s="15"/>
      <c r="U177" s="15"/>
      <c r="V177" s="15">
        <v>132</v>
      </c>
      <c r="W177" s="15">
        <f t="shared" ref="W177:W182" si="41">V177</f>
        <v>132</v>
      </c>
      <c r="X177" s="15">
        <f t="shared" si="39"/>
        <v>132</v>
      </c>
      <c r="Y177" s="15">
        <f>ROUNDDOWN(W177/HLOOKUP(D177,Table!$C$3:$D$4,2,0)*8,2)</f>
        <v>2.34</v>
      </c>
      <c r="Z177" s="15">
        <v>0.5</v>
      </c>
      <c r="AA177" s="15" t="s">
        <v>18</v>
      </c>
      <c r="AB177" s="19"/>
      <c r="AC177" s="19">
        <v>43973</v>
      </c>
      <c r="AD177" s="19">
        <v>43982</v>
      </c>
      <c r="AE177" s="19">
        <v>43976</v>
      </c>
      <c r="AF177" s="19">
        <v>43976</v>
      </c>
      <c r="AG177" s="19" t="s">
        <v>177</v>
      </c>
      <c r="AH177" s="31">
        <v>1</v>
      </c>
      <c r="AI177" s="31">
        <v>1</v>
      </c>
      <c r="AJ177" s="31">
        <v>1</v>
      </c>
      <c r="AK177" s="19" t="s">
        <v>151</v>
      </c>
      <c r="AL177" s="113" t="s">
        <v>61</v>
      </c>
      <c r="AM177" s="113" t="s">
        <v>61</v>
      </c>
      <c r="AN177" s="113" t="s">
        <v>61</v>
      </c>
    </row>
    <row r="178" spans="2:40" hidden="1" x14ac:dyDescent="0.25">
      <c r="B178" s="141">
        <f t="shared" si="31"/>
        <v>119</v>
      </c>
      <c r="C178" s="16">
        <v>20200522</v>
      </c>
      <c r="D178" s="15" t="s">
        <v>3</v>
      </c>
      <c r="E178" s="15" t="s">
        <v>449</v>
      </c>
      <c r="F178" s="74" t="s">
        <v>482</v>
      </c>
      <c r="G178" s="17">
        <v>1481766</v>
      </c>
      <c r="H178" s="52" t="s">
        <v>61</v>
      </c>
      <c r="I178" s="15" t="s">
        <v>453</v>
      </c>
      <c r="J178" s="52" t="s">
        <v>61</v>
      </c>
      <c r="K178" s="15" t="s">
        <v>147</v>
      </c>
      <c r="L178" s="15" t="s">
        <v>467</v>
      </c>
      <c r="M178" s="15" t="s">
        <v>151</v>
      </c>
      <c r="N178" s="15" t="s">
        <v>231</v>
      </c>
      <c r="O178" s="17" t="s">
        <v>61</v>
      </c>
      <c r="P178" s="17" t="s">
        <v>457</v>
      </c>
      <c r="Q178" s="18"/>
      <c r="R178" s="52" t="s">
        <v>61</v>
      </c>
      <c r="S178" s="15" t="s">
        <v>67</v>
      </c>
      <c r="T178" s="15"/>
      <c r="U178" s="15"/>
      <c r="V178" s="15">
        <v>72</v>
      </c>
      <c r="W178" s="15">
        <f t="shared" si="41"/>
        <v>72</v>
      </c>
      <c r="X178" s="15">
        <f t="shared" si="39"/>
        <v>72</v>
      </c>
      <c r="Y178" s="15">
        <f>ROUNDDOWN(W178/HLOOKUP(D178,Table!$C$3:$D$4,2,0)*8,2)</f>
        <v>1.28</v>
      </c>
      <c r="Z178" s="15">
        <v>1</v>
      </c>
      <c r="AA178" s="15" t="s">
        <v>18</v>
      </c>
      <c r="AB178" s="19"/>
      <c r="AC178" s="19">
        <v>43973</v>
      </c>
      <c r="AD178" s="19">
        <v>43982</v>
      </c>
      <c r="AE178" s="19">
        <v>43977</v>
      </c>
      <c r="AF178" s="19">
        <v>43977</v>
      </c>
      <c r="AG178" s="19" t="s">
        <v>177</v>
      </c>
      <c r="AH178" s="31">
        <v>1</v>
      </c>
      <c r="AI178" s="31">
        <v>1</v>
      </c>
      <c r="AJ178" s="31">
        <v>1</v>
      </c>
      <c r="AK178" s="19" t="s">
        <v>151</v>
      </c>
      <c r="AL178" s="113" t="s">
        <v>61</v>
      </c>
      <c r="AM178" s="113" t="s">
        <v>61</v>
      </c>
      <c r="AN178" s="113" t="s">
        <v>61</v>
      </c>
    </row>
    <row r="179" spans="2:40" hidden="1" x14ac:dyDescent="0.25">
      <c r="B179" s="141">
        <f t="shared" si="31"/>
        <v>120</v>
      </c>
      <c r="C179" s="16">
        <v>20200522</v>
      </c>
      <c r="D179" s="15" t="s">
        <v>3</v>
      </c>
      <c r="E179" s="15" t="s">
        <v>449</v>
      </c>
      <c r="F179" s="74" t="s">
        <v>483</v>
      </c>
      <c r="G179" s="17">
        <v>1482047</v>
      </c>
      <c r="H179" s="52" t="s">
        <v>61</v>
      </c>
      <c r="I179" s="15" t="s">
        <v>154</v>
      </c>
      <c r="J179" s="52" t="s">
        <v>61</v>
      </c>
      <c r="K179" s="15" t="s">
        <v>147</v>
      </c>
      <c r="L179" s="15" t="s">
        <v>463</v>
      </c>
      <c r="M179" s="15" t="s">
        <v>151</v>
      </c>
      <c r="N179" s="15" t="s">
        <v>231</v>
      </c>
      <c r="O179" s="17" t="s">
        <v>61</v>
      </c>
      <c r="P179" s="17" t="s">
        <v>464</v>
      </c>
      <c r="Q179" s="18"/>
      <c r="R179" s="52" t="s">
        <v>61</v>
      </c>
      <c r="S179" s="15" t="s">
        <v>70</v>
      </c>
      <c r="T179" s="15"/>
      <c r="U179" s="15"/>
      <c r="V179" s="15">
        <v>175</v>
      </c>
      <c r="W179" s="15">
        <f>V179</f>
        <v>175</v>
      </c>
      <c r="X179" s="15">
        <f t="shared" si="39"/>
        <v>175</v>
      </c>
      <c r="Y179" s="15">
        <f>ROUNDDOWN(W179/HLOOKUP(D179,Table!$C$3:$D$4,2,0)*8,2)</f>
        <v>3.11</v>
      </c>
      <c r="Z179" s="15">
        <v>0.5</v>
      </c>
      <c r="AA179" s="15" t="s">
        <v>18</v>
      </c>
      <c r="AB179" s="19"/>
      <c r="AC179" s="19">
        <v>43973</v>
      </c>
      <c r="AD179" s="19">
        <v>43982</v>
      </c>
      <c r="AE179" s="19">
        <v>43976</v>
      </c>
      <c r="AF179" s="19">
        <v>43976</v>
      </c>
      <c r="AG179" s="19" t="s">
        <v>177</v>
      </c>
      <c r="AH179" s="31">
        <v>1</v>
      </c>
      <c r="AI179" s="31">
        <v>1</v>
      </c>
      <c r="AJ179" s="31">
        <v>1</v>
      </c>
      <c r="AK179" s="19" t="s">
        <v>151</v>
      </c>
      <c r="AL179" s="113" t="s">
        <v>61</v>
      </c>
      <c r="AM179" s="113" t="s">
        <v>61</v>
      </c>
      <c r="AN179" s="113" t="s">
        <v>61</v>
      </c>
    </row>
    <row r="180" spans="2:40" hidden="1" x14ac:dyDescent="0.25">
      <c r="B180" s="141">
        <f t="shared" si="31"/>
        <v>121</v>
      </c>
      <c r="C180" s="16">
        <v>20200522</v>
      </c>
      <c r="D180" s="15" t="s">
        <v>2</v>
      </c>
      <c r="E180" s="15" t="s">
        <v>423</v>
      </c>
      <c r="F180" s="17" t="s">
        <v>61</v>
      </c>
      <c r="G180" s="17">
        <v>1482841</v>
      </c>
      <c r="H180" s="52" t="s">
        <v>61</v>
      </c>
      <c r="I180" s="15" t="s">
        <v>454</v>
      </c>
      <c r="J180" s="52" t="s">
        <v>61</v>
      </c>
      <c r="K180" s="15" t="s">
        <v>147</v>
      </c>
      <c r="L180" s="15" t="s">
        <v>151</v>
      </c>
      <c r="M180" s="15" t="s">
        <v>460</v>
      </c>
      <c r="N180" s="15" t="s">
        <v>459</v>
      </c>
      <c r="O180" s="17">
        <v>1.1000000000000001</v>
      </c>
      <c r="P180" s="17" t="s">
        <v>435</v>
      </c>
      <c r="Q180" s="18"/>
      <c r="R180" s="52" t="s">
        <v>61</v>
      </c>
      <c r="S180" s="15" t="s">
        <v>69</v>
      </c>
      <c r="T180" s="15"/>
      <c r="U180" s="15"/>
      <c r="V180" s="15">
        <v>5</v>
      </c>
      <c r="W180" s="15">
        <f t="shared" si="41"/>
        <v>5</v>
      </c>
      <c r="X180" s="15"/>
      <c r="Y180" s="15">
        <f>ROUNDDOWN(W180/HLOOKUP(D180,Table!$C$3:$D$4,2,0)*8,2)</f>
        <v>0.3</v>
      </c>
      <c r="Z180" s="15"/>
      <c r="AA180" s="15"/>
      <c r="AB180" s="19"/>
      <c r="AC180" s="19">
        <v>43973</v>
      </c>
      <c r="AD180" s="19">
        <v>43984</v>
      </c>
      <c r="AE180" s="19"/>
      <c r="AF180" s="19"/>
      <c r="AG180" s="19"/>
      <c r="AH180" s="31"/>
      <c r="AI180" s="31"/>
      <c r="AJ180" s="31"/>
      <c r="AK180" s="19"/>
      <c r="AL180" s="113" t="s">
        <v>61</v>
      </c>
      <c r="AM180" s="113" t="s">
        <v>61</v>
      </c>
      <c r="AN180" s="113" t="s">
        <v>61</v>
      </c>
    </row>
    <row r="181" spans="2:40" hidden="1" x14ac:dyDescent="0.25">
      <c r="B181" s="141">
        <f t="shared" si="31"/>
        <v>122</v>
      </c>
      <c r="C181" s="16">
        <v>20200522</v>
      </c>
      <c r="D181" s="15" t="s">
        <v>2</v>
      </c>
      <c r="E181" s="15" t="s">
        <v>423</v>
      </c>
      <c r="F181" s="17" t="s">
        <v>61</v>
      </c>
      <c r="G181" s="17">
        <v>1482841</v>
      </c>
      <c r="H181" s="52" t="s">
        <v>61</v>
      </c>
      <c r="I181" s="15" t="s">
        <v>487</v>
      </c>
      <c r="J181" s="52" t="s">
        <v>61</v>
      </c>
      <c r="K181" s="15" t="s">
        <v>147</v>
      </c>
      <c r="L181" s="15" t="s">
        <v>151</v>
      </c>
      <c r="M181" s="15" t="s">
        <v>460</v>
      </c>
      <c r="N181" s="15" t="s">
        <v>459</v>
      </c>
      <c r="O181" s="17" t="s">
        <v>456</v>
      </c>
      <c r="P181" s="17" t="s">
        <v>435</v>
      </c>
      <c r="Q181" s="18"/>
      <c r="R181" s="52" t="s">
        <v>61</v>
      </c>
      <c r="S181" s="15" t="s">
        <v>67</v>
      </c>
      <c r="T181" s="15"/>
      <c r="U181" s="15"/>
      <c r="V181" s="15">
        <v>150</v>
      </c>
      <c r="W181" s="15">
        <f t="shared" si="41"/>
        <v>150</v>
      </c>
      <c r="X181" s="15"/>
      <c r="Y181" s="15">
        <f>ROUNDDOWN(W181/HLOOKUP(D181,Table!$C$3:$D$4,2,0)*8,2)</f>
        <v>9.23</v>
      </c>
      <c r="Z181" s="15"/>
      <c r="AA181" s="15"/>
      <c r="AB181" s="19"/>
      <c r="AC181" s="19">
        <v>43973</v>
      </c>
      <c r="AD181" s="19">
        <v>43984</v>
      </c>
      <c r="AE181" s="19"/>
      <c r="AF181" s="19"/>
      <c r="AG181" s="19"/>
      <c r="AH181" s="31"/>
      <c r="AI181" s="31"/>
      <c r="AJ181" s="31"/>
      <c r="AK181" s="19"/>
      <c r="AL181" s="113" t="s">
        <v>61</v>
      </c>
      <c r="AM181" s="113" t="s">
        <v>61</v>
      </c>
      <c r="AN181" s="113" t="s">
        <v>61</v>
      </c>
    </row>
    <row r="182" spans="2:40" hidden="1" x14ac:dyDescent="0.25">
      <c r="B182" s="141">
        <f t="shared" si="31"/>
        <v>123</v>
      </c>
      <c r="C182" s="16">
        <v>20200522</v>
      </c>
      <c r="D182" s="15" t="s">
        <v>3</v>
      </c>
      <c r="E182" s="15" t="s">
        <v>368</v>
      </c>
      <c r="F182" s="74" t="s">
        <v>484</v>
      </c>
      <c r="G182" s="17">
        <v>1479289</v>
      </c>
      <c r="H182" s="52" t="s">
        <v>61</v>
      </c>
      <c r="I182" s="15" t="s">
        <v>455</v>
      </c>
      <c r="J182" s="52" t="s">
        <v>61</v>
      </c>
      <c r="K182" s="15" t="s">
        <v>147</v>
      </c>
      <c r="L182" s="15" t="s">
        <v>181</v>
      </c>
      <c r="M182" s="15" t="s">
        <v>151</v>
      </c>
      <c r="N182" s="15" t="s">
        <v>182</v>
      </c>
      <c r="O182" s="17" t="s">
        <v>61</v>
      </c>
      <c r="P182" s="17" t="s">
        <v>180</v>
      </c>
      <c r="Q182" s="18"/>
      <c r="R182" s="52" t="s">
        <v>61</v>
      </c>
      <c r="S182" s="15" t="s">
        <v>70</v>
      </c>
      <c r="T182" s="15"/>
      <c r="U182" s="15"/>
      <c r="V182" s="15">
        <v>108</v>
      </c>
      <c r="W182" s="15">
        <f t="shared" si="41"/>
        <v>108</v>
      </c>
      <c r="X182" s="15">
        <f>W182</f>
        <v>108</v>
      </c>
      <c r="Y182" s="15">
        <f>ROUNDDOWN(W182/HLOOKUP(D182,Table!$C$3:$D$4,2,0)*8,2)</f>
        <v>1.92</v>
      </c>
      <c r="Z182" s="15">
        <v>1</v>
      </c>
      <c r="AA182" s="15" t="s">
        <v>18</v>
      </c>
      <c r="AB182" s="19"/>
      <c r="AC182" s="19">
        <v>43973</v>
      </c>
      <c r="AD182" s="19">
        <v>43984</v>
      </c>
      <c r="AE182" s="19">
        <v>43976</v>
      </c>
      <c r="AF182" s="19">
        <v>43976</v>
      </c>
      <c r="AG182" s="19" t="s">
        <v>177</v>
      </c>
      <c r="AH182" s="31">
        <v>1</v>
      </c>
      <c r="AI182" s="31">
        <v>1</v>
      </c>
      <c r="AJ182" s="31">
        <v>1</v>
      </c>
      <c r="AK182" s="19" t="s">
        <v>151</v>
      </c>
      <c r="AL182" s="113" t="s">
        <v>61</v>
      </c>
      <c r="AM182" s="113" t="s">
        <v>61</v>
      </c>
      <c r="AN182" s="113" t="s">
        <v>61</v>
      </c>
    </row>
    <row r="183" spans="2:40" hidden="1" x14ac:dyDescent="0.25">
      <c r="B183" s="41">
        <f t="shared" ref="B183:B214" si="42">B182+1</f>
        <v>124</v>
      </c>
      <c r="C183" s="16">
        <v>20200525</v>
      </c>
      <c r="D183" s="15" t="s">
        <v>3</v>
      </c>
      <c r="E183" s="81" t="s">
        <v>489</v>
      </c>
      <c r="F183" s="74" t="s">
        <v>545</v>
      </c>
      <c r="G183" s="81">
        <v>1484917</v>
      </c>
      <c r="H183" s="52" t="s">
        <v>61</v>
      </c>
      <c r="I183" s="81" t="s">
        <v>490</v>
      </c>
      <c r="J183" s="52" t="s">
        <v>61</v>
      </c>
      <c r="K183" s="15" t="s">
        <v>185</v>
      </c>
      <c r="L183" s="15" t="s">
        <v>536</v>
      </c>
      <c r="M183" s="81" t="s">
        <v>537</v>
      </c>
      <c r="N183" s="81" t="s">
        <v>538</v>
      </c>
      <c r="O183" s="17" t="s">
        <v>61</v>
      </c>
      <c r="P183" s="78" t="s">
        <v>539</v>
      </c>
      <c r="Q183" s="18"/>
      <c r="R183" s="52" t="s">
        <v>61</v>
      </c>
      <c r="S183" s="15" t="s">
        <v>69</v>
      </c>
      <c r="T183" s="15"/>
      <c r="U183" s="15"/>
      <c r="V183" s="81">
        <v>8</v>
      </c>
      <c r="W183" s="15">
        <f t="shared" ref="W183:W214" si="43">V183</f>
        <v>8</v>
      </c>
      <c r="X183" s="15">
        <f>W183</f>
        <v>8</v>
      </c>
      <c r="Y183" s="15">
        <f>ROUNDDOWN(W183/HLOOKUP(D183,Table!$C$3:$D$4,2,0)*8,2)</f>
        <v>0.14000000000000001</v>
      </c>
      <c r="Z183" s="15">
        <v>0.1</v>
      </c>
      <c r="AA183" s="15" t="s">
        <v>18</v>
      </c>
      <c r="AB183" s="19"/>
      <c r="AC183" s="19">
        <v>43976</v>
      </c>
      <c r="AD183" s="19">
        <v>43983</v>
      </c>
      <c r="AE183" s="19">
        <v>43978</v>
      </c>
      <c r="AF183" s="19">
        <v>43978</v>
      </c>
      <c r="AG183" s="19" t="s">
        <v>177</v>
      </c>
      <c r="AH183" s="31">
        <v>1</v>
      </c>
      <c r="AI183" s="31">
        <v>1</v>
      </c>
      <c r="AJ183" s="31">
        <v>1</v>
      </c>
      <c r="AK183" s="19" t="s">
        <v>151</v>
      </c>
      <c r="AL183" s="144" t="s">
        <v>61</v>
      </c>
      <c r="AM183" s="144" t="s">
        <v>61</v>
      </c>
      <c r="AN183" s="145" t="s">
        <v>540</v>
      </c>
    </row>
    <row r="184" spans="2:40" hidden="1" x14ac:dyDescent="0.25">
      <c r="B184" s="41">
        <f t="shared" si="42"/>
        <v>125</v>
      </c>
      <c r="C184" s="16">
        <v>20200525</v>
      </c>
      <c r="D184" s="15" t="s">
        <v>3</v>
      </c>
      <c r="E184" s="81" t="s">
        <v>489</v>
      </c>
      <c r="F184" s="74" t="s">
        <v>546</v>
      </c>
      <c r="G184" s="81">
        <v>1484917</v>
      </c>
      <c r="H184" s="52" t="s">
        <v>61</v>
      </c>
      <c r="I184" s="81" t="s">
        <v>491</v>
      </c>
      <c r="J184" s="52" t="s">
        <v>61</v>
      </c>
      <c r="K184" s="15" t="s">
        <v>185</v>
      </c>
      <c r="L184" s="15" t="s">
        <v>536</v>
      </c>
      <c r="M184" s="15" t="s">
        <v>537</v>
      </c>
      <c r="N184" s="15" t="s">
        <v>538</v>
      </c>
      <c r="O184" s="17" t="s">
        <v>61</v>
      </c>
      <c r="P184" s="17" t="s">
        <v>539</v>
      </c>
      <c r="Q184" s="18"/>
      <c r="R184" s="52" t="s">
        <v>61</v>
      </c>
      <c r="S184" s="15" t="s">
        <v>69</v>
      </c>
      <c r="T184" s="15"/>
      <c r="U184" s="15"/>
      <c r="V184" s="81">
        <v>25</v>
      </c>
      <c r="W184" s="15">
        <f t="shared" si="43"/>
        <v>25</v>
      </c>
      <c r="X184" s="15">
        <f>W184</f>
        <v>25</v>
      </c>
      <c r="Y184" s="15">
        <f>ROUNDDOWN(W184/HLOOKUP(D184,Table!$C$3:$D$4,2,0)*8,2)</f>
        <v>0.44</v>
      </c>
      <c r="Z184" s="15">
        <v>0.4</v>
      </c>
      <c r="AA184" s="15" t="s">
        <v>18</v>
      </c>
      <c r="AB184" s="19"/>
      <c r="AC184" s="19">
        <v>43976</v>
      </c>
      <c r="AD184" s="19">
        <v>43983</v>
      </c>
      <c r="AE184" s="19">
        <v>43978</v>
      </c>
      <c r="AF184" s="19">
        <v>43978</v>
      </c>
      <c r="AG184" s="19" t="s">
        <v>177</v>
      </c>
      <c r="AH184" s="31">
        <v>1</v>
      </c>
      <c r="AI184" s="31">
        <v>1</v>
      </c>
      <c r="AJ184" s="31">
        <v>1</v>
      </c>
      <c r="AK184" s="19" t="s">
        <v>151</v>
      </c>
      <c r="AL184" s="144" t="s">
        <v>61</v>
      </c>
      <c r="AM184" s="144" t="s">
        <v>61</v>
      </c>
      <c r="AN184" s="145" t="s">
        <v>540</v>
      </c>
    </row>
    <row r="185" spans="2:40" hidden="1" x14ac:dyDescent="0.25">
      <c r="B185" s="41">
        <f t="shared" si="42"/>
        <v>126</v>
      </c>
      <c r="C185" s="16">
        <v>20200525</v>
      </c>
      <c r="D185" s="15" t="s">
        <v>3</v>
      </c>
      <c r="E185" s="81" t="s">
        <v>489</v>
      </c>
      <c r="F185" s="74" t="s">
        <v>547</v>
      </c>
      <c r="G185" s="81">
        <v>1484917</v>
      </c>
      <c r="H185" s="52" t="s">
        <v>61</v>
      </c>
      <c r="I185" s="81" t="s">
        <v>492</v>
      </c>
      <c r="J185" s="52" t="s">
        <v>61</v>
      </c>
      <c r="K185" s="15" t="s">
        <v>185</v>
      </c>
      <c r="L185" s="15" t="s">
        <v>536</v>
      </c>
      <c r="M185" s="15" t="s">
        <v>537</v>
      </c>
      <c r="N185" s="15" t="s">
        <v>538</v>
      </c>
      <c r="O185" s="17" t="s">
        <v>61</v>
      </c>
      <c r="P185" s="17" t="s">
        <v>539</v>
      </c>
      <c r="Q185" s="18"/>
      <c r="R185" s="52" t="s">
        <v>61</v>
      </c>
      <c r="S185" s="15" t="s">
        <v>69</v>
      </c>
      <c r="T185" s="15"/>
      <c r="U185" s="15"/>
      <c r="V185" s="81">
        <v>15</v>
      </c>
      <c r="W185" s="15">
        <f t="shared" si="43"/>
        <v>15</v>
      </c>
      <c r="X185" s="15">
        <f>W185</f>
        <v>15</v>
      </c>
      <c r="Y185" s="15">
        <f>ROUNDDOWN(W185/HLOOKUP(D185,Table!$C$3:$D$4,2,0)*8,2)</f>
        <v>0.26</v>
      </c>
      <c r="Z185" s="15">
        <v>0.2</v>
      </c>
      <c r="AA185" s="15" t="s">
        <v>18</v>
      </c>
      <c r="AB185" s="19"/>
      <c r="AC185" s="19">
        <v>43976</v>
      </c>
      <c r="AD185" s="19">
        <v>43983</v>
      </c>
      <c r="AE185" s="19">
        <v>43978</v>
      </c>
      <c r="AF185" s="19">
        <v>43978</v>
      </c>
      <c r="AG185" s="19" t="s">
        <v>177</v>
      </c>
      <c r="AH185" s="31">
        <v>1</v>
      </c>
      <c r="AI185" s="31">
        <v>1</v>
      </c>
      <c r="AJ185" s="31">
        <v>1</v>
      </c>
      <c r="AK185" s="19" t="s">
        <v>151</v>
      </c>
      <c r="AL185" s="144" t="s">
        <v>61</v>
      </c>
      <c r="AM185" s="144" t="s">
        <v>61</v>
      </c>
      <c r="AN185" s="145" t="s">
        <v>540</v>
      </c>
    </row>
    <row r="186" spans="2:40" hidden="1" x14ac:dyDescent="0.25">
      <c r="B186" s="41">
        <f t="shared" si="42"/>
        <v>127</v>
      </c>
      <c r="C186" s="16">
        <v>20200525</v>
      </c>
      <c r="D186" s="15" t="s">
        <v>3</v>
      </c>
      <c r="E186" s="81" t="s">
        <v>489</v>
      </c>
      <c r="F186" s="74" t="s">
        <v>548</v>
      </c>
      <c r="G186" s="81">
        <v>1484917</v>
      </c>
      <c r="H186" s="52" t="s">
        <v>61</v>
      </c>
      <c r="I186" s="81" t="s">
        <v>493</v>
      </c>
      <c r="J186" s="52" t="s">
        <v>61</v>
      </c>
      <c r="K186" s="15" t="s">
        <v>185</v>
      </c>
      <c r="L186" s="15" t="s">
        <v>536</v>
      </c>
      <c r="M186" s="15" t="s">
        <v>537</v>
      </c>
      <c r="N186" s="15" t="s">
        <v>538</v>
      </c>
      <c r="O186" s="17" t="s">
        <v>61</v>
      </c>
      <c r="P186" s="17" t="s">
        <v>539</v>
      </c>
      <c r="Q186" s="18"/>
      <c r="R186" s="52" t="s">
        <v>61</v>
      </c>
      <c r="S186" s="15" t="s">
        <v>69</v>
      </c>
      <c r="T186" s="15"/>
      <c r="U186" s="15"/>
      <c r="V186" s="81">
        <v>30</v>
      </c>
      <c r="W186" s="15">
        <f t="shared" si="43"/>
        <v>30</v>
      </c>
      <c r="X186" s="15">
        <f>W186</f>
        <v>30</v>
      </c>
      <c r="Y186" s="15">
        <f>ROUNDDOWN(W186/HLOOKUP(D186,Table!$C$3:$D$4,2,0)*8,2)</f>
        <v>0.53</v>
      </c>
      <c r="Z186" s="15">
        <v>0.5</v>
      </c>
      <c r="AA186" s="15" t="s">
        <v>18</v>
      </c>
      <c r="AB186" s="19"/>
      <c r="AC186" s="19">
        <v>43976</v>
      </c>
      <c r="AD186" s="19">
        <v>43983</v>
      </c>
      <c r="AE186" s="19">
        <v>43978</v>
      </c>
      <c r="AF186" s="19">
        <v>43978</v>
      </c>
      <c r="AG186" s="19" t="s">
        <v>177</v>
      </c>
      <c r="AH186" s="31">
        <v>1</v>
      </c>
      <c r="AI186" s="31">
        <v>1</v>
      </c>
      <c r="AJ186" s="31">
        <v>1</v>
      </c>
      <c r="AK186" s="19" t="s">
        <v>151</v>
      </c>
      <c r="AL186" s="144" t="s">
        <v>61</v>
      </c>
      <c r="AM186" s="144" t="s">
        <v>61</v>
      </c>
      <c r="AN186" s="145" t="s">
        <v>540</v>
      </c>
    </row>
    <row r="187" spans="2:40" hidden="1" x14ac:dyDescent="0.25">
      <c r="B187" s="41">
        <f t="shared" si="42"/>
        <v>128</v>
      </c>
      <c r="C187" s="16">
        <v>20200525</v>
      </c>
      <c r="D187" s="15" t="s">
        <v>3</v>
      </c>
      <c r="E187" s="81" t="s">
        <v>489</v>
      </c>
      <c r="F187" s="74" t="s">
        <v>549</v>
      </c>
      <c r="G187" s="81">
        <v>1484917</v>
      </c>
      <c r="H187" s="52" t="s">
        <v>61</v>
      </c>
      <c r="I187" s="81" t="s">
        <v>494</v>
      </c>
      <c r="J187" s="52" t="s">
        <v>61</v>
      </c>
      <c r="K187" s="15" t="s">
        <v>185</v>
      </c>
      <c r="L187" s="15" t="s">
        <v>536</v>
      </c>
      <c r="M187" s="15" t="s">
        <v>537</v>
      </c>
      <c r="N187" s="15" t="s">
        <v>538</v>
      </c>
      <c r="O187" s="17" t="s">
        <v>61</v>
      </c>
      <c r="P187" s="17" t="s">
        <v>539</v>
      </c>
      <c r="Q187" s="18"/>
      <c r="R187" s="52" t="s">
        <v>61</v>
      </c>
      <c r="S187" s="15" t="s">
        <v>67</v>
      </c>
      <c r="T187" s="15"/>
      <c r="U187" s="15"/>
      <c r="V187" s="81">
        <v>21</v>
      </c>
      <c r="W187" s="15">
        <f t="shared" si="43"/>
        <v>21</v>
      </c>
      <c r="X187" s="15"/>
      <c r="Y187" s="15">
        <f>ROUNDDOWN(W187/HLOOKUP(D187,Table!$C$3:$D$4,2,0)*8,2)</f>
        <v>0.37</v>
      </c>
      <c r="Z187" s="15"/>
      <c r="AA187" s="15"/>
      <c r="AB187" s="19"/>
      <c r="AC187" s="19">
        <v>43976</v>
      </c>
      <c r="AD187" s="19">
        <v>43983</v>
      </c>
      <c r="AE187" s="19"/>
      <c r="AF187" s="19"/>
      <c r="AG187" s="19"/>
      <c r="AH187" s="31"/>
      <c r="AI187" s="31"/>
      <c r="AJ187" s="31"/>
      <c r="AK187" s="19"/>
      <c r="AL187" s="144" t="s">
        <v>61</v>
      </c>
      <c r="AM187" s="144" t="s">
        <v>61</v>
      </c>
      <c r="AN187" s="145" t="s">
        <v>540</v>
      </c>
    </row>
    <row r="188" spans="2:40" hidden="1" x14ac:dyDescent="0.25">
      <c r="B188" s="41">
        <f t="shared" si="42"/>
        <v>129</v>
      </c>
      <c r="C188" s="16">
        <v>20200525</v>
      </c>
      <c r="D188" s="15" t="s">
        <v>3</v>
      </c>
      <c r="E188" s="81" t="s">
        <v>489</v>
      </c>
      <c r="F188" s="74" t="s">
        <v>550</v>
      </c>
      <c r="G188" s="81">
        <v>1484917</v>
      </c>
      <c r="H188" s="52" t="s">
        <v>61</v>
      </c>
      <c r="I188" s="81" t="s">
        <v>495</v>
      </c>
      <c r="J188" s="52" t="s">
        <v>61</v>
      </c>
      <c r="K188" s="15" t="s">
        <v>185</v>
      </c>
      <c r="L188" s="15" t="s">
        <v>536</v>
      </c>
      <c r="M188" s="15" t="s">
        <v>537</v>
      </c>
      <c r="N188" s="15" t="s">
        <v>538</v>
      </c>
      <c r="O188" s="17" t="s">
        <v>61</v>
      </c>
      <c r="P188" s="17" t="s">
        <v>539</v>
      </c>
      <c r="Q188" s="18"/>
      <c r="R188" s="52" t="s">
        <v>61</v>
      </c>
      <c r="S188" s="15" t="s">
        <v>67</v>
      </c>
      <c r="T188" s="15"/>
      <c r="U188" s="15"/>
      <c r="V188" s="81">
        <v>17</v>
      </c>
      <c r="W188" s="15">
        <f t="shared" si="43"/>
        <v>17</v>
      </c>
      <c r="X188" s="15"/>
      <c r="Y188" s="15">
        <f>ROUNDDOWN(W188/HLOOKUP(D188,Table!$C$3:$D$4,2,0)*8,2)</f>
        <v>0.3</v>
      </c>
      <c r="Z188" s="15"/>
      <c r="AA188" s="15"/>
      <c r="AB188" s="19"/>
      <c r="AC188" s="19">
        <v>43976</v>
      </c>
      <c r="AD188" s="19">
        <v>43983</v>
      </c>
      <c r="AE188" s="19"/>
      <c r="AF188" s="19"/>
      <c r="AG188" s="19"/>
      <c r="AH188" s="31"/>
      <c r="AI188" s="31"/>
      <c r="AJ188" s="31"/>
      <c r="AK188" s="19"/>
      <c r="AL188" s="144" t="s">
        <v>61</v>
      </c>
      <c r="AM188" s="144" t="s">
        <v>61</v>
      </c>
      <c r="AN188" s="145" t="s">
        <v>540</v>
      </c>
    </row>
    <row r="189" spans="2:40" hidden="1" x14ac:dyDescent="0.25">
      <c r="B189" s="41">
        <f t="shared" si="42"/>
        <v>130</v>
      </c>
      <c r="C189" s="16">
        <v>20200525</v>
      </c>
      <c r="D189" s="15" t="s">
        <v>3</v>
      </c>
      <c r="E189" s="81" t="s">
        <v>489</v>
      </c>
      <c r="F189" s="74" t="s">
        <v>551</v>
      </c>
      <c r="G189" s="81">
        <v>1484917</v>
      </c>
      <c r="H189" s="52" t="s">
        <v>61</v>
      </c>
      <c r="I189" s="81" t="s">
        <v>496</v>
      </c>
      <c r="J189" s="52" t="s">
        <v>61</v>
      </c>
      <c r="K189" s="15" t="s">
        <v>185</v>
      </c>
      <c r="L189" s="15" t="s">
        <v>536</v>
      </c>
      <c r="M189" s="15" t="s">
        <v>537</v>
      </c>
      <c r="N189" s="15" t="s">
        <v>538</v>
      </c>
      <c r="O189" s="17" t="s">
        <v>61</v>
      </c>
      <c r="P189" s="17" t="s">
        <v>539</v>
      </c>
      <c r="Q189" s="18"/>
      <c r="R189" s="52" t="s">
        <v>61</v>
      </c>
      <c r="S189" s="15" t="s">
        <v>67</v>
      </c>
      <c r="T189" s="15"/>
      <c r="U189" s="15"/>
      <c r="V189" s="81">
        <v>31</v>
      </c>
      <c r="W189" s="15">
        <f t="shared" si="43"/>
        <v>31</v>
      </c>
      <c r="X189" s="15"/>
      <c r="Y189" s="15">
        <f>ROUNDDOWN(W189/HLOOKUP(D189,Table!$C$3:$D$4,2,0)*8,2)</f>
        <v>0.55000000000000004</v>
      </c>
      <c r="Z189" s="15"/>
      <c r="AA189" s="15"/>
      <c r="AB189" s="19"/>
      <c r="AC189" s="19">
        <v>43976</v>
      </c>
      <c r="AD189" s="19">
        <v>43983</v>
      </c>
      <c r="AE189" s="19"/>
      <c r="AF189" s="19"/>
      <c r="AG189" s="19"/>
      <c r="AH189" s="31"/>
      <c r="AI189" s="31"/>
      <c r="AJ189" s="31"/>
      <c r="AK189" s="19"/>
      <c r="AL189" s="144" t="s">
        <v>61</v>
      </c>
      <c r="AM189" s="144" t="s">
        <v>61</v>
      </c>
      <c r="AN189" s="145" t="s">
        <v>540</v>
      </c>
    </row>
    <row r="190" spans="2:40" hidden="1" x14ac:dyDescent="0.25">
      <c r="B190" s="41">
        <f t="shared" si="42"/>
        <v>131</v>
      </c>
      <c r="C190" s="16">
        <v>20200525</v>
      </c>
      <c r="D190" s="15" t="s">
        <v>3</v>
      </c>
      <c r="E190" s="81" t="s">
        <v>489</v>
      </c>
      <c r="F190" s="74" t="s">
        <v>552</v>
      </c>
      <c r="G190" s="81">
        <v>1484917</v>
      </c>
      <c r="H190" s="52" t="s">
        <v>61</v>
      </c>
      <c r="I190" s="81" t="s">
        <v>497</v>
      </c>
      <c r="J190" s="52" t="s">
        <v>61</v>
      </c>
      <c r="K190" s="15" t="s">
        <v>185</v>
      </c>
      <c r="L190" s="15" t="s">
        <v>536</v>
      </c>
      <c r="M190" s="15" t="s">
        <v>537</v>
      </c>
      <c r="N190" s="15" t="s">
        <v>538</v>
      </c>
      <c r="O190" s="17" t="s">
        <v>61</v>
      </c>
      <c r="P190" s="17" t="s">
        <v>539</v>
      </c>
      <c r="Q190" s="18"/>
      <c r="R190" s="52" t="s">
        <v>61</v>
      </c>
      <c r="S190" s="15" t="s">
        <v>67</v>
      </c>
      <c r="T190" s="15"/>
      <c r="U190" s="15"/>
      <c r="V190" s="81">
        <v>31</v>
      </c>
      <c r="W190" s="15">
        <f t="shared" si="43"/>
        <v>31</v>
      </c>
      <c r="X190" s="15"/>
      <c r="Y190" s="15">
        <f>ROUNDDOWN(W190/HLOOKUP(D190,Table!$C$3:$D$4,2,0)*8,2)</f>
        <v>0.55000000000000004</v>
      </c>
      <c r="Z190" s="15"/>
      <c r="AA190" s="15"/>
      <c r="AB190" s="19"/>
      <c r="AC190" s="19">
        <v>43976</v>
      </c>
      <c r="AD190" s="19">
        <v>43983</v>
      </c>
      <c r="AE190" s="19"/>
      <c r="AF190" s="19"/>
      <c r="AG190" s="19"/>
      <c r="AH190" s="31"/>
      <c r="AI190" s="31"/>
      <c r="AJ190" s="31"/>
      <c r="AK190" s="19"/>
      <c r="AL190" s="144" t="s">
        <v>61</v>
      </c>
      <c r="AM190" s="144" t="s">
        <v>61</v>
      </c>
      <c r="AN190" s="145" t="s">
        <v>540</v>
      </c>
    </row>
    <row r="191" spans="2:40" hidden="1" x14ac:dyDescent="0.25">
      <c r="B191" s="41">
        <f t="shared" si="42"/>
        <v>132</v>
      </c>
      <c r="C191" s="16">
        <v>20200525</v>
      </c>
      <c r="D191" s="15" t="s">
        <v>3</v>
      </c>
      <c r="E191" s="81" t="s">
        <v>489</v>
      </c>
      <c r="F191" s="74" t="s">
        <v>553</v>
      </c>
      <c r="G191" s="81">
        <v>1484917</v>
      </c>
      <c r="H191" s="52" t="s">
        <v>61</v>
      </c>
      <c r="I191" s="81" t="s">
        <v>498</v>
      </c>
      <c r="J191" s="52" t="s">
        <v>61</v>
      </c>
      <c r="K191" s="15" t="s">
        <v>185</v>
      </c>
      <c r="L191" s="15" t="s">
        <v>536</v>
      </c>
      <c r="M191" s="15" t="s">
        <v>537</v>
      </c>
      <c r="N191" s="15" t="s">
        <v>538</v>
      </c>
      <c r="O191" s="17" t="s">
        <v>61</v>
      </c>
      <c r="P191" s="17" t="s">
        <v>539</v>
      </c>
      <c r="Q191" s="18"/>
      <c r="R191" s="52" t="s">
        <v>61</v>
      </c>
      <c r="S191" s="15" t="s">
        <v>70</v>
      </c>
      <c r="T191" s="15"/>
      <c r="U191" s="15"/>
      <c r="V191" s="81">
        <v>12</v>
      </c>
      <c r="W191" s="15">
        <f t="shared" si="43"/>
        <v>12</v>
      </c>
      <c r="X191" s="15">
        <f t="shared" ref="X191:X199" si="44">W191</f>
        <v>12</v>
      </c>
      <c r="Y191" s="15">
        <f>ROUNDDOWN(W191/HLOOKUP(D191,Table!$C$3:$D$4,2,0)*8,2)</f>
        <v>0.21</v>
      </c>
      <c r="Z191" s="15">
        <f>Y191</f>
        <v>0.21</v>
      </c>
      <c r="AA191" s="15" t="s">
        <v>18</v>
      </c>
      <c r="AB191" s="19"/>
      <c r="AC191" s="19">
        <v>43976</v>
      </c>
      <c r="AD191" s="19">
        <v>43983</v>
      </c>
      <c r="AE191" s="19">
        <v>43977</v>
      </c>
      <c r="AF191" s="19">
        <v>43977</v>
      </c>
      <c r="AG191" s="19" t="s">
        <v>177</v>
      </c>
      <c r="AH191" s="31">
        <v>1</v>
      </c>
      <c r="AI191" s="31">
        <v>1</v>
      </c>
      <c r="AJ191" s="31">
        <v>1</v>
      </c>
      <c r="AK191" s="19" t="s">
        <v>151</v>
      </c>
      <c r="AL191" s="144" t="s">
        <v>61</v>
      </c>
      <c r="AM191" s="144" t="s">
        <v>61</v>
      </c>
      <c r="AN191" s="145" t="s">
        <v>540</v>
      </c>
    </row>
    <row r="192" spans="2:40" hidden="1" x14ac:dyDescent="0.25">
      <c r="B192" s="41">
        <f t="shared" si="42"/>
        <v>133</v>
      </c>
      <c r="C192" s="16">
        <v>20200525</v>
      </c>
      <c r="D192" s="15" t="s">
        <v>3</v>
      </c>
      <c r="E192" s="81" t="s">
        <v>489</v>
      </c>
      <c r="F192" s="74" t="s">
        <v>554</v>
      </c>
      <c r="G192" s="81">
        <v>1484917</v>
      </c>
      <c r="H192" s="52" t="s">
        <v>61</v>
      </c>
      <c r="I192" s="81" t="s">
        <v>499</v>
      </c>
      <c r="J192" s="52" t="s">
        <v>61</v>
      </c>
      <c r="K192" s="15" t="s">
        <v>185</v>
      </c>
      <c r="L192" s="15" t="s">
        <v>536</v>
      </c>
      <c r="M192" s="15" t="s">
        <v>537</v>
      </c>
      <c r="N192" s="15" t="s">
        <v>538</v>
      </c>
      <c r="O192" s="17" t="s">
        <v>61</v>
      </c>
      <c r="P192" s="17" t="s">
        <v>539</v>
      </c>
      <c r="Q192" s="18"/>
      <c r="R192" s="52" t="s">
        <v>61</v>
      </c>
      <c r="S192" s="15" t="s">
        <v>70</v>
      </c>
      <c r="T192" s="15"/>
      <c r="U192" s="15"/>
      <c r="V192" s="81">
        <v>35</v>
      </c>
      <c r="W192" s="15">
        <f t="shared" si="43"/>
        <v>35</v>
      </c>
      <c r="X192" s="15">
        <f t="shared" si="44"/>
        <v>35</v>
      </c>
      <c r="Y192" s="15">
        <f>ROUNDDOWN(W192/HLOOKUP(D192,Table!$C$3:$D$4,2,0)*8,2)</f>
        <v>0.62</v>
      </c>
      <c r="Z192" s="15">
        <f>Y192</f>
        <v>0.62</v>
      </c>
      <c r="AA192" s="15" t="s">
        <v>18</v>
      </c>
      <c r="AB192" s="19"/>
      <c r="AC192" s="19">
        <v>43976</v>
      </c>
      <c r="AD192" s="19">
        <v>43983</v>
      </c>
      <c r="AE192" s="19">
        <v>43977</v>
      </c>
      <c r="AF192" s="19">
        <v>43977</v>
      </c>
      <c r="AG192" s="19" t="s">
        <v>177</v>
      </c>
      <c r="AH192" s="31">
        <v>1</v>
      </c>
      <c r="AI192" s="31">
        <v>1</v>
      </c>
      <c r="AJ192" s="31">
        <v>1</v>
      </c>
      <c r="AK192" s="19" t="s">
        <v>151</v>
      </c>
      <c r="AL192" s="144" t="s">
        <v>61</v>
      </c>
      <c r="AM192" s="144" t="s">
        <v>61</v>
      </c>
      <c r="AN192" s="145" t="s">
        <v>540</v>
      </c>
    </row>
    <row r="193" spans="2:40" hidden="1" x14ac:dyDescent="0.25">
      <c r="B193" s="41">
        <f t="shared" si="42"/>
        <v>134</v>
      </c>
      <c r="C193" s="16">
        <v>20200525</v>
      </c>
      <c r="D193" s="15" t="s">
        <v>3</v>
      </c>
      <c r="E193" s="81" t="s">
        <v>489</v>
      </c>
      <c r="F193" s="74" t="s">
        <v>555</v>
      </c>
      <c r="G193" s="81">
        <v>1484917</v>
      </c>
      <c r="H193" s="52" t="s">
        <v>61</v>
      </c>
      <c r="I193" s="81" t="s">
        <v>500</v>
      </c>
      <c r="J193" s="52" t="s">
        <v>61</v>
      </c>
      <c r="K193" s="15" t="s">
        <v>185</v>
      </c>
      <c r="L193" s="15" t="s">
        <v>536</v>
      </c>
      <c r="M193" s="15" t="s">
        <v>537</v>
      </c>
      <c r="N193" s="15" t="s">
        <v>538</v>
      </c>
      <c r="O193" s="17" t="s">
        <v>61</v>
      </c>
      <c r="P193" s="17" t="s">
        <v>539</v>
      </c>
      <c r="Q193" s="18"/>
      <c r="R193" s="52" t="s">
        <v>61</v>
      </c>
      <c r="S193" s="15" t="s">
        <v>70</v>
      </c>
      <c r="T193" s="15"/>
      <c r="U193" s="15"/>
      <c r="V193" s="81">
        <v>30</v>
      </c>
      <c r="W193" s="15">
        <f t="shared" si="43"/>
        <v>30</v>
      </c>
      <c r="X193" s="15">
        <f t="shared" si="44"/>
        <v>30</v>
      </c>
      <c r="Y193" s="15">
        <f>ROUNDDOWN(W193/HLOOKUP(D193,Table!$C$3:$D$4,2,0)*8,2)</f>
        <v>0.53</v>
      </c>
      <c r="Z193" s="15">
        <f>Y193</f>
        <v>0.53</v>
      </c>
      <c r="AA193" s="15" t="s">
        <v>18</v>
      </c>
      <c r="AB193" s="19"/>
      <c r="AC193" s="19">
        <v>43976</v>
      </c>
      <c r="AD193" s="19">
        <v>43983</v>
      </c>
      <c r="AE193" s="19">
        <v>43977</v>
      </c>
      <c r="AF193" s="19">
        <v>43977</v>
      </c>
      <c r="AG193" s="19" t="s">
        <v>177</v>
      </c>
      <c r="AH193" s="31">
        <v>1</v>
      </c>
      <c r="AI193" s="31">
        <v>1</v>
      </c>
      <c r="AJ193" s="31">
        <v>1</v>
      </c>
      <c r="AK193" s="19" t="s">
        <v>151</v>
      </c>
      <c r="AL193" s="144" t="s">
        <v>61</v>
      </c>
      <c r="AM193" s="144" t="s">
        <v>61</v>
      </c>
      <c r="AN193" s="145" t="s">
        <v>540</v>
      </c>
    </row>
    <row r="194" spans="2:40" hidden="1" x14ac:dyDescent="0.25">
      <c r="B194" s="41">
        <f t="shared" si="42"/>
        <v>135</v>
      </c>
      <c r="C194" s="16">
        <v>20200525</v>
      </c>
      <c r="D194" s="15" t="s">
        <v>3</v>
      </c>
      <c r="E194" s="81" t="s">
        <v>489</v>
      </c>
      <c r="F194" s="74" t="s">
        <v>556</v>
      </c>
      <c r="G194" s="81">
        <v>1484917</v>
      </c>
      <c r="H194" s="52" t="s">
        <v>61</v>
      </c>
      <c r="I194" s="81" t="s">
        <v>501</v>
      </c>
      <c r="J194" s="52" t="s">
        <v>61</v>
      </c>
      <c r="K194" s="15" t="s">
        <v>185</v>
      </c>
      <c r="L194" s="15" t="s">
        <v>536</v>
      </c>
      <c r="M194" s="15" t="s">
        <v>537</v>
      </c>
      <c r="N194" s="15" t="s">
        <v>538</v>
      </c>
      <c r="O194" s="17" t="s">
        <v>61</v>
      </c>
      <c r="P194" s="17" t="s">
        <v>539</v>
      </c>
      <c r="Q194" s="18"/>
      <c r="R194" s="52" t="s">
        <v>61</v>
      </c>
      <c r="S194" s="15" t="s">
        <v>70</v>
      </c>
      <c r="T194" s="15"/>
      <c r="U194" s="15"/>
      <c r="V194" s="81">
        <v>14</v>
      </c>
      <c r="W194" s="15">
        <f t="shared" si="43"/>
        <v>14</v>
      </c>
      <c r="X194" s="15">
        <f t="shared" si="44"/>
        <v>14</v>
      </c>
      <c r="Y194" s="15">
        <f>ROUNDDOWN(W194/HLOOKUP(D194,Table!$C$3:$D$4,2,0)*8,2)</f>
        <v>0.24</v>
      </c>
      <c r="Z194" s="15">
        <f>Y194</f>
        <v>0.24</v>
      </c>
      <c r="AA194" s="15" t="s">
        <v>18</v>
      </c>
      <c r="AB194" s="19"/>
      <c r="AC194" s="19">
        <v>43976</v>
      </c>
      <c r="AD194" s="19">
        <v>43983</v>
      </c>
      <c r="AE194" s="19">
        <v>43977</v>
      </c>
      <c r="AF194" s="19">
        <v>43977</v>
      </c>
      <c r="AG194" s="19" t="s">
        <v>177</v>
      </c>
      <c r="AH194" s="31">
        <v>1</v>
      </c>
      <c r="AI194" s="31">
        <v>1</v>
      </c>
      <c r="AJ194" s="31">
        <v>1</v>
      </c>
      <c r="AK194" s="19" t="s">
        <v>151</v>
      </c>
      <c r="AL194" s="144" t="s">
        <v>61</v>
      </c>
      <c r="AM194" s="144" t="s">
        <v>61</v>
      </c>
      <c r="AN194" s="145" t="s">
        <v>540</v>
      </c>
    </row>
    <row r="195" spans="2:40" x14ac:dyDescent="0.25">
      <c r="B195" s="41">
        <f t="shared" si="42"/>
        <v>136</v>
      </c>
      <c r="C195" s="16">
        <v>20200525</v>
      </c>
      <c r="D195" s="15" t="s">
        <v>3</v>
      </c>
      <c r="E195" s="81" t="s">
        <v>489</v>
      </c>
      <c r="F195" s="74" t="s">
        <v>557</v>
      </c>
      <c r="G195" s="81">
        <v>1484917</v>
      </c>
      <c r="H195" s="52" t="s">
        <v>61</v>
      </c>
      <c r="I195" s="81" t="s">
        <v>502</v>
      </c>
      <c r="J195" s="52" t="s">
        <v>61</v>
      </c>
      <c r="K195" s="15" t="s">
        <v>185</v>
      </c>
      <c r="L195" s="15" t="s">
        <v>536</v>
      </c>
      <c r="M195" s="15" t="s">
        <v>537</v>
      </c>
      <c r="N195" s="15" t="s">
        <v>538</v>
      </c>
      <c r="O195" s="17" t="s">
        <v>61</v>
      </c>
      <c r="P195" s="17" t="s">
        <v>539</v>
      </c>
      <c r="Q195" s="18"/>
      <c r="R195" s="52" t="s">
        <v>61</v>
      </c>
      <c r="S195" s="15" t="s">
        <v>143</v>
      </c>
      <c r="T195" s="15"/>
      <c r="U195" s="15"/>
      <c r="V195" s="81">
        <v>12</v>
      </c>
      <c r="W195" s="15">
        <f t="shared" si="43"/>
        <v>12</v>
      </c>
      <c r="X195" s="15">
        <f t="shared" si="44"/>
        <v>12</v>
      </c>
      <c r="Y195" s="15">
        <f>ROUNDDOWN(W195/HLOOKUP(D195,Table!$C$3:$D$4,2,0)*8,2)</f>
        <v>0.21</v>
      </c>
      <c r="Z195" s="15">
        <v>0.1</v>
      </c>
      <c r="AA195" s="15" t="s">
        <v>18</v>
      </c>
      <c r="AB195" s="19"/>
      <c r="AC195" s="19">
        <v>43976</v>
      </c>
      <c r="AD195" s="19">
        <v>43983</v>
      </c>
      <c r="AE195" s="19">
        <v>43978</v>
      </c>
      <c r="AF195" s="19">
        <v>43978</v>
      </c>
      <c r="AG195" s="19" t="s">
        <v>177</v>
      </c>
      <c r="AH195" s="31">
        <v>1</v>
      </c>
      <c r="AI195" s="31">
        <v>1</v>
      </c>
      <c r="AJ195" s="31">
        <v>1</v>
      </c>
      <c r="AK195" s="19" t="s">
        <v>151</v>
      </c>
      <c r="AL195" s="144" t="s">
        <v>61</v>
      </c>
      <c r="AM195" s="144" t="s">
        <v>61</v>
      </c>
      <c r="AN195" s="145" t="s">
        <v>540</v>
      </c>
    </row>
    <row r="196" spans="2:40" hidden="1" x14ac:dyDescent="0.25">
      <c r="B196" s="41">
        <f t="shared" si="42"/>
        <v>137</v>
      </c>
      <c r="C196" s="16">
        <v>20200525</v>
      </c>
      <c r="D196" s="15" t="s">
        <v>3</v>
      </c>
      <c r="E196" s="81" t="s">
        <v>489</v>
      </c>
      <c r="F196" s="74" t="s">
        <v>558</v>
      </c>
      <c r="G196" s="81">
        <v>1484917</v>
      </c>
      <c r="H196" s="52" t="s">
        <v>61</v>
      </c>
      <c r="I196" s="81" t="s">
        <v>503</v>
      </c>
      <c r="J196" s="52" t="s">
        <v>61</v>
      </c>
      <c r="K196" s="15" t="s">
        <v>185</v>
      </c>
      <c r="L196" s="15" t="s">
        <v>536</v>
      </c>
      <c r="M196" s="15" t="s">
        <v>537</v>
      </c>
      <c r="N196" s="15" t="s">
        <v>538</v>
      </c>
      <c r="O196" s="17" t="s">
        <v>61</v>
      </c>
      <c r="P196" s="17" t="s">
        <v>539</v>
      </c>
      <c r="Q196" s="18"/>
      <c r="R196" s="52" t="s">
        <v>61</v>
      </c>
      <c r="S196" s="15" t="s">
        <v>68</v>
      </c>
      <c r="T196" s="15"/>
      <c r="U196" s="15"/>
      <c r="V196" s="81">
        <v>45</v>
      </c>
      <c r="W196" s="15">
        <f t="shared" si="43"/>
        <v>45</v>
      </c>
      <c r="X196" s="15">
        <f t="shared" si="44"/>
        <v>45</v>
      </c>
      <c r="Y196" s="15">
        <f>ROUNDDOWN(W196/HLOOKUP(D196,Table!$C$3:$D$4,2,0)*8,2)</f>
        <v>0.8</v>
      </c>
      <c r="Z196" s="15">
        <f>Y196</f>
        <v>0.8</v>
      </c>
      <c r="AA196" s="15" t="s">
        <v>18</v>
      </c>
      <c r="AB196" s="19"/>
      <c r="AC196" s="19">
        <v>43976</v>
      </c>
      <c r="AD196" s="19">
        <v>43983</v>
      </c>
      <c r="AE196" s="19">
        <v>43979</v>
      </c>
      <c r="AF196" s="19">
        <v>43979</v>
      </c>
      <c r="AG196" s="19" t="s">
        <v>177</v>
      </c>
      <c r="AH196" s="31">
        <v>1</v>
      </c>
      <c r="AI196" s="31">
        <v>1</v>
      </c>
      <c r="AJ196" s="31">
        <v>1</v>
      </c>
      <c r="AK196" s="19" t="s">
        <v>151</v>
      </c>
      <c r="AL196" s="144" t="s">
        <v>61</v>
      </c>
      <c r="AM196" s="144" t="s">
        <v>61</v>
      </c>
      <c r="AN196" s="145" t="s">
        <v>540</v>
      </c>
    </row>
    <row r="197" spans="2:40" hidden="1" x14ac:dyDescent="0.25">
      <c r="B197" s="41">
        <f t="shared" si="42"/>
        <v>138</v>
      </c>
      <c r="C197" s="16">
        <v>20200525</v>
      </c>
      <c r="D197" s="15" t="s">
        <v>3</v>
      </c>
      <c r="E197" s="81" t="s">
        <v>489</v>
      </c>
      <c r="F197" s="74" t="s">
        <v>559</v>
      </c>
      <c r="G197" s="81">
        <v>1484917</v>
      </c>
      <c r="H197" s="52" t="s">
        <v>61</v>
      </c>
      <c r="I197" s="81" t="s">
        <v>504</v>
      </c>
      <c r="J197" s="52" t="s">
        <v>61</v>
      </c>
      <c r="K197" s="15" t="s">
        <v>185</v>
      </c>
      <c r="L197" s="15" t="s">
        <v>536</v>
      </c>
      <c r="M197" s="15" t="s">
        <v>537</v>
      </c>
      <c r="N197" s="15" t="s">
        <v>538</v>
      </c>
      <c r="O197" s="17" t="s">
        <v>61</v>
      </c>
      <c r="P197" s="17" t="s">
        <v>539</v>
      </c>
      <c r="Q197" s="18"/>
      <c r="R197" s="52" t="s">
        <v>61</v>
      </c>
      <c r="S197" s="15" t="s">
        <v>68</v>
      </c>
      <c r="T197" s="15"/>
      <c r="U197" s="15"/>
      <c r="V197" s="81">
        <v>14</v>
      </c>
      <c r="W197" s="15">
        <f t="shared" si="43"/>
        <v>14</v>
      </c>
      <c r="X197" s="15">
        <f t="shared" si="44"/>
        <v>14</v>
      </c>
      <c r="Y197" s="15">
        <f>ROUNDDOWN(W197/HLOOKUP(D197,Table!$C$3:$D$4,2,0)*8,2)</f>
        <v>0.24</v>
      </c>
      <c r="Z197" s="15">
        <f>Y197</f>
        <v>0.24</v>
      </c>
      <c r="AA197" s="15" t="s">
        <v>18</v>
      </c>
      <c r="AB197" s="19"/>
      <c r="AC197" s="19">
        <v>43976</v>
      </c>
      <c r="AD197" s="19">
        <v>43983</v>
      </c>
      <c r="AE197" s="19">
        <v>43979</v>
      </c>
      <c r="AF197" s="19">
        <v>43979</v>
      </c>
      <c r="AG197" s="19" t="s">
        <v>177</v>
      </c>
      <c r="AH197" s="31">
        <v>1</v>
      </c>
      <c r="AI197" s="31">
        <v>1</v>
      </c>
      <c r="AJ197" s="31">
        <v>1</v>
      </c>
      <c r="AK197" s="19" t="s">
        <v>151</v>
      </c>
      <c r="AL197" s="144" t="s">
        <v>61</v>
      </c>
      <c r="AM197" s="144" t="s">
        <v>61</v>
      </c>
      <c r="AN197" s="145" t="s">
        <v>540</v>
      </c>
    </row>
    <row r="198" spans="2:40" hidden="1" x14ac:dyDescent="0.25">
      <c r="B198" s="41">
        <f t="shared" si="42"/>
        <v>139</v>
      </c>
      <c r="C198" s="16">
        <v>20200525</v>
      </c>
      <c r="D198" s="15" t="s">
        <v>3</v>
      </c>
      <c r="E198" s="81" t="s">
        <v>489</v>
      </c>
      <c r="F198" s="74" t="s">
        <v>560</v>
      </c>
      <c r="G198" s="81">
        <v>1484917</v>
      </c>
      <c r="H198" s="52" t="s">
        <v>61</v>
      </c>
      <c r="I198" s="81" t="s">
        <v>505</v>
      </c>
      <c r="J198" s="52" t="s">
        <v>61</v>
      </c>
      <c r="K198" s="15" t="s">
        <v>185</v>
      </c>
      <c r="L198" s="15" t="s">
        <v>536</v>
      </c>
      <c r="M198" s="15" t="s">
        <v>537</v>
      </c>
      <c r="N198" s="15" t="s">
        <v>538</v>
      </c>
      <c r="O198" s="17" t="s">
        <v>61</v>
      </c>
      <c r="P198" s="17" t="s">
        <v>539</v>
      </c>
      <c r="Q198" s="18"/>
      <c r="R198" s="52" t="s">
        <v>61</v>
      </c>
      <c r="S198" s="15" t="s">
        <v>68</v>
      </c>
      <c r="T198" s="15"/>
      <c r="U198" s="15"/>
      <c r="V198" s="81">
        <v>81</v>
      </c>
      <c r="W198" s="15">
        <f t="shared" si="43"/>
        <v>81</v>
      </c>
      <c r="X198" s="15">
        <f t="shared" si="44"/>
        <v>81</v>
      </c>
      <c r="Y198" s="15">
        <f>ROUNDDOWN(W198/HLOOKUP(D198,Table!$C$3:$D$4,2,0)*8,2)</f>
        <v>1.44</v>
      </c>
      <c r="Z198" s="15">
        <f>Y198</f>
        <v>1.44</v>
      </c>
      <c r="AA198" s="15" t="s">
        <v>18</v>
      </c>
      <c r="AB198" s="19"/>
      <c r="AC198" s="19">
        <v>43976</v>
      </c>
      <c r="AD198" s="19">
        <v>43983</v>
      </c>
      <c r="AE198" s="19">
        <v>43979</v>
      </c>
      <c r="AF198" s="19">
        <v>43979</v>
      </c>
      <c r="AG198" s="19" t="s">
        <v>177</v>
      </c>
      <c r="AH198" s="31">
        <v>1</v>
      </c>
      <c r="AI198" s="31">
        <v>1</v>
      </c>
      <c r="AJ198" s="31">
        <v>1</v>
      </c>
      <c r="AK198" s="19" t="s">
        <v>151</v>
      </c>
      <c r="AL198" s="144" t="s">
        <v>61</v>
      </c>
      <c r="AM198" s="144" t="s">
        <v>61</v>
      </c>
      <c r="AN198" s="145" t="s">
        <v>540</v>
      </c>
    </row>
    <row r="199" spans="2:40" hidden="1" x14ac:dyDescent="0.25">
      <c r="B199" s="41">
        <f t="shared" si="42"/>
        <v>140</v>
      </c>
      <c r="C199" s="16">
        <v>20200525</v>
      </c>
      <c r="D199" s="15" t="s">
        <v>3</v>
      </c>
      <c r="E199" s="81" t="s">
        <v>489</v>
      </c>
      <c r="F199" s="74" t="s">
        <v>561</v>
      </c>
      <c r="G199" s="81">
        <v>1484917</v>
      </c>
      <c r="H199" s="52" t="s">
        <v>61</v>
      </c>
      <c r="I199" s="81" t="s">
        <v>506</v>
      </c>
      <c r="J199" s="52" t="s">
        <v>61</v>
      </c>
      <c r="K199" s="15" t="s">
        <v>185</v>
      </c>
      <c r="L199" s="15" t="s">
        <v>536</v>
      </c>
      <c r="M199" s="15" t="s">
        <v>537</v>
      </c>
      <c r="N199" s="15" t="s">
        <v>538</v>
      </c>
      <c r="O199" s="17" t="s">
        <v>61</v>
      </c>
      <c r="P199" s="17" t="s">
        <v>539</v>
      </c>
      <c r="Q199" s="18"/>
      <c r="R199" s="52"/>
      <c r="S199" s="15" t="s">
        <v>68</v>
      </c>
      <c r="T199" s="15"/>
      <c r="U199" s="15"/>
      <c r="V199" s="81">
        <v>18</v>
      </c>
      <c r="W199" s="15">
        <f t="shared" si="43"/>
        <v>18</v>
      </c>
      <c r="X199" s="15">
        <f t="shared" si="44"/>
        <v>18</v>
      </c>
      <c r="Y199" s="15">
        <f>ROUNDDOWN(W199/HLOOKUP(D199,Table!$C$3:$D$4,2,0)*8,2)</f>
        <v>0.32</v>
      </c>
      <c r="Z199" s="15">
        <f>Y199</f>
        <v>0.32</v>
      </c>
      <c r="AA199" s="15" t="s">
        <v>18</v>
      </c>
      <c r="AB199" s="19"/>
      <c r="AC199" s="19">
        <v>43976</v>
      </c>
      <c r="AD199" s="19">
        <v>43983</v>
      </c>
      <c r="AE199" s="19">
        <v>43979</v>
      </c>
      <c r="AF199" s="19">
        <v>43979</v>
      </c>
      <c r="AG199" s="19" t="s">
        <v>177</v>
      </c>
      <c r="AH199" s="31">
        <v>1</v>
      </c>
      <c r="AI199" s="31">
        <v>1</v>
      </c>
      <c r="AJ199" s="31">
        <v>1</v>
      </c>
      <c r="AK199" s="19" t="s">
        <v>151</v>
      </c>
      <c r="AL199" s="144" t="s">
        <v>61</v>
      </c>
      <c r="AM199" s="144" t="s">
        <v>61</v>
      </c>
      <c r="AN199" s="145" t="s">
        <v>540</v>
      </c>
    </row>
    <row r="200" spans="2:40" hidden="1" x14ac:dyDescent="0.25">
      <c r="B200" s="41">
        <f t="shared" si="42"/>
        <v>141</v>
      </c>
      <c r="C200" s="16">
        <v>20200525</v>
      </c>
      <c r="D200" s="15" t="s">
        <v>3</v>
      </c>
      <c r="E200" s="81" t="s">
        <v>489</v>
      </c>
      <c r="F200" s="74" t="s">
        <v>562</v>
      </c>
      <c r="G200" s="81">
        <v>1484917</v>
      </c>
      <c r="H200" s="52"/>
      <c r="I200" s="81" t="s">
        <v>217</v>
      </c>
      <c r="J200" s="52" t="s">
        <v>61</v>
      </c>
      <c r="K200" s="15" t="s">
        <v>185</v>
      </c>
      <c r="L200" s="15" t="s">
        <v>536</v>
      </c>
      <c r="M200" s="15" t="s">
        <v>537</v>
      </c>
      <c r="N200" s="15" t="s">
        <v>538</v>
      </c>
      <c r="O200" s="17" t="s">
        <v>61</v>
      </c>
      <c r="P200" s="17" t="s">
        <v>539</v>
      </c>
      <c r="Q200" s="18"/>
      <c r="R200" s="52"/>
      <c r="S200" s="15" t="s">
        <v>67</v>
      </c>
      <c r="T200" s="15"/>
      <c r="U200" s="15"/>
      <c r="V200" s="81">
        <v>259</v>
      </c>
      <c r="W200" s="15">
        <f t="shared" si="43"/>
        <v>259</v>
      </c>
      <c r="X200" s="15"/>
      <c r="Y200" s="15">
        <f>ROUNDDOWN(W200/HLOOKUP(D200,Table!$C$3:$D$4,2,0)*8,2)</f>
        <v>4.5999999999999996</v>
      </c>
      <c r="Z200" s="15"/>
      <c r="AA200" s="15"/>
      <c r="AB200" s="19"/>
      <c r="AC200" s="19">
        <v>43976</v>
      </c>
      <c r="AD200" s="19">
        <v>43983</v>
      </c>
      <c r="AE200" s="19"/>
      <c r="AF200" s="19"/>
      <c r="AG200" s="19"/>
      <c r="AH200" s="31"/>
      <c r="AI200" s="31"/>
      <c r="AJ200" s="31"/>
      <c r="AK200" s="19"/>
      <c r="AL200" s="144" t="s">
        <v>61</v>
      </c>
      <c r="AM200" s="144" t="s">
        <v>61</v>
      </c>
      <c r="AN200" s="145" t="s">
        <v>540</v>
      </c>
    </row>
    <row r="201" spans="2:40" hidden="1" x14ac:dyDescent="0.25">
      <c r="B201" s="41">
        <f t="shared" si="42"/>
        <v>142</v>
      </c>
      <c r="C201" s="16">
        <v>20200525</v>
      </c>
      <c r="D201" s="15" t="s">
        <v>3</v>
      </c>
      <c r="E201" s="81" t="s">
        <v>489</v>
      </c>
      <c r="F201" s="74" t="s">
        <v>563</v>
      </c>
      <c r="G201" s="81">
        <v>1484917</v>
      </c>
      <c r="H201" s="52"/>
      <c r="I201" s="81" t="s">
        <v>288</v>
      </c>
      <c r="J201" s="52" t="s">
        <v>61</v>
      </c>
      <c r="K201" s="15" t="s">
        <v>185</v>
      </c>
      <c r="L201" s="15" t="s">
        <v>536</v>
      </c>
      <c r="M201" s="15" t="s">
        <v>537</v>
      </c>
      <c r="N201" s="15" t="s">
        <v>538</v>
      </c>
      <c r="O201" s="17" t="s">
        <v>61</v>
      </c>
      <c r="P201" s="17" t="s">
        <v>539</v>
      </c>
      <c r="Q201" s="18"/>
      <c r="R201" s="52"/>
      <c r="S201" s="15" t="s">
        <v>70</v>
      </c>
      <c r="T201" s="15"/>
      <c r="U201" s="15"/>
      <c r="V201" s="81">
        <v>109</v>
      </c>
      <c r="W201" s="15">
        <f t="shared" si="43"/>
        <v>109</v>
      </c>
      <c r="X201" s="15">
        <f>W201</f>
        <v>109</v>
      </c>
      <c r="Y201" s="15">
        <f>ROUNDDOWN(W201/HLOOKUP(D201,Table!$C$3:$D$4,2,0)*8,2)</f>
        <v>1.93</v>
      </c>
      <c r="Z201" s="15">
        <v>1</v>
      </c>
      <c r="AA201" s="15" t="s">
        <v>18</v>
      </c>
      <c r="AB201" s="19"/>
      <c r="AC201" s="19">
        <v>43976</v>
      </c>
      <c r="AD201" s="19">
        <v>43983</v>
      </c>
      <c r="AE201" s="19">
        <v>43977</v>
      </c>
      <c r="AF201" s="19">
        <v>43977</v>
      </c>
      <c r="AG201" s="19" t="s">
        <v>177</v>
      </c>
      <c r="AH201" s="31">
        <v>1</v>
      </c>
      <c r="AI201" s="31">
        <v>1</v>
      </c>
      <c r="AJ201" s="31">
        <v>1</v>
      </c>
      <c r="AK201" s="19" t="s">
        <v>151</v>
      </c>
      <c r="AL201" s="144" t="s">
        <v>61</v>
      </c>
      <c r="AM201" s="144" t="s">
        <v>61</v>
      </c>
      <c r="AN201" s="145" t="s">
        <v>540</v>
      </c>
    </row>
    <row r="202" spans="2:40" hidden="1" x14ac:dyDescent="0.25">
      <c r="B202" s="41">
        <f t="shared" si="42"/>
        <v>143</v>
      </c>
      <c r="C202" s="16">
        <v>20200525</v>
      </c>
      <c r="D202" s="15" t="s">
        <v>3</v>
      </c>
      <c r="E202" s="81" t="s">
        <v>489</v>
      </c>
      <c r="F202" s="74" t="s">
        <v>564</v>
      </c>
      <c r="G202" s="81">
        <v>1484917</v>
      </c>
      <c r="H202" s="52"/>
      <c r="I202" s="81" t="s">
        <v>288</v>
      </c>
      <c r="J202" s="52" t="s">
        <v>61</v>
      </c>
      <c r="K202" s="15" t="s">
        <v>185</v>
      </c>
      <c r="L202" s="15" t="s">
        <v>536</v>
      </c>
      <c r="M202" s="15" t="s">
        <v>537</v>
      </c>
      <c r="N202" s="15" t="s">
        <v>538</v>
      </c>
      <c r="O202" s="17" t="s">
        <v>61</v>
      </c>
      <c r="P202" s="17" t="s">
        <v>539</v>
      </c>
      <c r="Q202" s="18"/>
      <c r="R202" s="52"/>
      <c r="S202" s="15" t="s">
        <v>70</v>
      </c>
      <c r="T202" s="15"/>
      <c r="U202" s="15"/>
      <c r="V202" s="81">
        <v>109</v>
      </c>
      <c r="W202" s="85">
        <v>159</v>
      </c>
      <c r="X202" s="15">
        <f>W202</f>
        <v>159</v>
      </c>
      <c r="Y202" s="15">
        <f>ROUNDDOWN(W202/HLOOKUP(D202,Table!$C$3:$D$4,2,0)*8,2)</f>
        <v>2.82</v>
      </c>
      <c r="Z202" s="15">
        <v>1</v>
      </c>
      <c r="AA202" s="15" t="s">
        <v>18</v>
      </c>
      <c r="AB202" s="19"/>
      <c r="AC202" s="19">
        <v>43976</v>
      </c>
      <c r="AD202" s="19">
        <v>43983</v>
      </c>
      <c r="AE202" s="19">
        <v>43977</v>
      </c>
      <c r="AF202" s="19">
        <v>43977</v>
      </c>
      <c r="AG202" s="19" t="s">
        <v>177</v>
      </c>
      <c r="AH202" s="31">
        <v>1</v>
      </c>
      <c r="AI202" s="31">
        <v>1</v>
      </c>
      <c r="AJ202" s="31">
        <v>1</v>
      </c>
      <c r="AK202" s="19" t="s">
        <v>151</v>
      </c>
      <c r="AL202" s="144" t="s">
        <v>61</v>
      </c>
      <c r="AM202" s="144" t="s">
        <v>61</v>
      </c>
      <c r="AN202" s="145" t="s">
        <v>540</v>
      </c>
    </row>
    <row r="203" spans="2:40" hidden="1" x14ac:dyDescent="0.25">
      <c r="B203" s="41">
        <f t="shared" si="42"/>
        <v>144</v>
      </c>
      <c r="C203" s="16">
        <v>20200525</v>
      </c>
      <c r="D203" s="15" t="s">
        <v>3</v>
      </c>
      <c r="E203" s="81" t="s">
        <v>489</v>
      </c>
      <c r="F203" s="74" t="s">
        <v>565</v>
      </c>
      <c r="G203" s="81">
        <v>1484917</v>
      </c>
      <c r="H203" s="52"/>
      <c r="I203" s="81" t="s">
        <v>507</v>
      </c>
      <c r="J203" s="52" t="s">
        <v>61</v>
      </c>
      <c r="K203" s="15" t="s">
        <v>185</v>
      </c>
      <c r="L203" s="15" t="s">
        <v>536</v>
      </c>
      <c r="M203" s="15" t="s">
        <v>537</v>
      </c>
      <c r="N203" s="15" t="s">
        <v>538</v>
      </c>
      <c r="O203" s="17" t="s">
        <v>61</v>
      </c>
      <c r="P203" s="17" t="s">
        <v>539</v>
      </c>
      <c r="Q203" s="18"/>
      <c r="R203" s="52"/>
      <c r="S203" s="15" t="s">
        <v>70</v>
      </c>
      <c r="T203" s="15"/>
      <c r="U203" s="15"/>
      <c r="V203" s="81">
        <v>63</v>
      </c>
      <c r="W203" s="15">
        <f t="shared" si="43"/>
        <v>63</v>
      </c>
      <c r="X203" s="15">
        <f>W203</f>
        <v>63</v>
      </c>
      <c r="Y203" s="15">
        <f>ROUNDDOWN(W203/HLOOKUP(D203,Table!$C$3:$D$4,2,0)*8,2)</f>
        <v>1.1200000000000001</v>
      </c>
      <c r="Z203" s="15">
        <f>Y203</f>
        <v>1.1200000000000001</v>
      </c>
      <c r="AA203" s="15" t="s">
        <v>18</v>
      </c>
      <c r="AB203" s="19"/>
      <c r="AC203" s="19">
        <v>43976</v>
      </c>
      <c r="AD203" s="19">
        <v>43983</v>
      </c>
      <c r="AE203" s="19">
        <v>43977</v>
      </c>
      <c r="AF203" s="19">
        <v>43977</v>
      </c>
      <c r="AG203" s="19" t="s">
        <v>177</v>
      </c>
      <c r="AH203" s="31">
        <v>1</v>
      </c>
      <c r="AI203" s="31">
        <v>1</v>
      </c>
      <c r="AJ203" s="31">
        <v>1</v>
      </c>
      <c r="AK203" s="19" t="s">
        <v>151</v>
      </c>
      <c r="AL203" s="144" t="s">
        <v>61</v>
      </c>
      <c r="AM203" s="144" t="s">
        <v>61</v>
      </c>
      <c r="AN203" s="145" t="s">
        <v>540</v>
      </c>
    </row>
    <row r="204" spans="2:40" hidden="1" x14ac:dyDescent="0.25">
      <c r="B204" s="41">
        <f t="shared" si="42"/>
        <v>145</v>
      </c>
      <c r="C204" s="16">
        <v>20200525</v>
      </c>
      <c r="D204" s="15" t="s">
        <v>3</v>
      </c>
      <c r="E204" s="81" t="s">
        <v>489</v>
      </c>
      <c r="F204" s="74" t="s">
        <v>566</v>
      </c>
      <c r="G204" s="81">
        <v>1484917</v>
      </c>
      <c r="H204" s="52"/>
      <c r="I204" s="81" t="s">
        <v>508</v>
      </c>
      <c r="J204" s="52" t="s">
        <v>61</v>
      </c>
      <c r="K204" s="15" t="s">
        <v>185</v>
      </c>
      <c r="L204" s="15" t="s">
        <v>536</v>
      </c>
      <c r="M204" s="15" t="s">
        <v>537</v>
      </c>
      <c r="N204" s="15" t="s">
        <v>538</v>
      </c>
      <c r="O204" s="17" t="s">
        <v>61</v>
      </c>
      <c r="P204" s="17" t="s">
        <v>539</v>
      </c>
      <c r="Q204" s="18"/>
      <c r="R204" s="52"/>
      <c r="S204" s="15" t="s">
        <v>67</v>
      </c>
      <c r="T204" s="15"/>
      <c r="U204" s="15"/>
      <c r="V204" s="81">
        <v>100</v>
      </c>
      <c r="W204" s="15">
        <f t="shared" si="43"/>
        <v>100</v>
      </c>
      <c r="X204" s="15"/>
      <c r="Y204" s="15">
        <f>ROUNDDOWN(W204/HLOOKUP(D204,Table!$C$3:$D$4,2,0)*8,2)</f>
        <v>1.77</v>
      </c>
      <c r="Z204" s="15"/>
      <c r="AA204" s="15"/>
      <c r="AB204" s="19"/>
      <c r="AC204" s="19">
        <v>43976</v>
      </c>
      <c r="AD204" s="19">
        <v>43983</v>
      </c>
      <c r="AE204" s="19"/>
      <c r="AF204" s="19"/>
      <c r="AG204" s="19"/>
      <c r="AH204" s="31"/>
      <c r="AI204" s="31"/>
      <c r="AJ204" s="31"/>
      <c r="AK204" s="19"/>
      <c r="AL204" s="144" t="s">
        <v>61</v>
      </c>
      <c r="AM204" s="144" t="s">
        <v>61</v>
      </c>
      <c r="AN204" s="145" t="s">
        <v>540</v>
      </c>
    </row>
    <row r="205" spans="2:40" hidden="1" x14ac:dyDescent="0.25">
      <c r="B205" s="41">
        <f t="shared" si="42"/>
        <v>146</v>
      </c>
      <c r="C205" s="16">
        <v>20200525</v>
      </c>
      <c r="D205" s="15" t="s">
        <v>3</v>
      </c>
      <c r="E205" s="81" t="s">
        <v>489</v>
      </c>
      <c r="F205" s="74" t="s">
        <v>567</v>
      </c>
      <c r="G205" s="81">
        <v>1484917</v>
      </c>
      <c r="H205" s="52"/>
      <c r="I205" s="81" t="s">
        <v>508</v>
      </c>
      <c r="J205" s="52" t="s">
        <v>61</v>
      </c>
      <c r="K205" s="15" t="s">
        <v>185</v>
      </c>
      <c r="L205" s="15" t="s">
        <v>536</v>
      </c>
      <c r="M205" s="15" t="s">
        <v>537</v>
      </c>
      <c r="N205" s="15" t="s">
        <v>538</v>
      </c>
      <c r="O205" s="17" t="s">
        <v>61</v>
      </c>
      <c r="P205" s="17" t="s">
        <v>539</v>
      </c>
      <c r="Q205" s="18"/>
      <c r="R205" s="52"/>
      <c r="S205" s="15" t="s">
        <v>67</v>
      </c>
      <c r="T205" s="15"/>
      <c r="U205" s="15"/>
      <c r="V205" s="81">
        <v>100</v>
      </c>
      <c r="W205" s="15">
        <f t="shared" si="43"/>
        <v>100</v>
      </c>
      <c r="X205" s="15"/>
      <c r="Y205" s="15">
        <f>ROUNDDOWN(W205/HLOOKUP(D205,Table!$C$3:$D$4,2,0)*8,2)</f>
        <v>1.77</v>
      </c>
      <c r="Z205" s="15"/>
      <c r="AA205" s="15"/>
      <c r="AB205" s="19"/>
      <c r="AC205" s="19">
        <v>43976</v>
      </c>
      <c r="AD205" s="19">
        <v>43983</v>
      </c>
      <c r="AE205" s="19"/>
      <c r="AF205" s="19"/>
      <c r="AG205" s="19"/>
      <c r="AH205" s="31"/>
      <c r="AI205" s="31"/>
      <c r="AJ205" s="31"/>
      <c r="AK205" s="19"/>
      <c r="AL205" s="144" t="s">
        <v>61</v>
      </c>
      <c r="AM205" s="144" t="s">
        <v>61</v>
      </c>
      <c r="AN205" s="145" t="s">
        <v>540</v>
      </c>
    </row>
    <row r="206" spans="2:40" x14ac:dyDescent="0.25">
      <c r="B206" s="41">
        <f t="shared" si="42"/>
        <v>147</v>
      </c>
      <c r="C206" s="16">
        <v>20200525</v>
      </c>
      <c r="D206" s="15" t="s">
        <v>3</v>
      </c>
      <c r="E206" s="81" t="s">
        <v>489</v>
      </c>
      <c r="F206" s="74" t="s">
        <v>568</v>
      </c>
      <c r="G206" s="81">
        <v>1484917</v>
      </c>
      <c r="H206" s="52"/>
      <c r="I206" s="81" t="s">
        <v>509</v>
      </c>
      <c r="J206" s="52" t="s">
        <v>61</v>
      </c>
      <c r="K206" s="15" t="s">
        <v>185</v>
      </c>
      <c r="L206" s="15" t="s">
        <v>536</v>
      </c>
      <c r="M206" s="15" t="s">
        <v>537</v>
      </c>
      <c r="N206" s="15" t="s">
        <v>538</v>
      </c>
      <c r="O206" s="17" t="s">
        <v>61</v>
      </c>
      <c r="P206" s="17" t="s">
        <v>539</v>
      </c>
      <c r="Q206" s="18"/>
      <c r="R206" s="52"/>
      <c r="S206" s="15" t="s">
        <v>143</v>
      </c>
      <c r="T206" s="15"/>
      <c r="U206" s="15"/>
      <c r="V206" s="81">
        <v>77</v>
      </c>
      <c r="W206" s="15">
        <f t="shared" si="43"/>
        <v>77</v>
      </c>
      <c r="X206" s="15">
        <f t="shared" ref="X206:X213" si="45">W206</f>
        <v>77</v>
      </c>
      <c r="Y206" s="15">
        <f>ROUNDDOWN(W206/HLOOKUP(D206,Table!$C$3:$D$4,2,0)*8,2)</f>
        <v>1.36</v>
      </c>
      <c r="Z206" s="15">
        <v>1</v>
      </c>
      <c r="AA206" s="15" t="s">
        <v>18</v>
      </c>
      <c r="AB206" s="19"/>
      <c r="AC206" s="19">
        <v>43976</v>
      </c>
      <c r="AD206" s="19">
        <v>43983</v>
      </c>
      <c r="AE206" s="19">
        <v>43978</v>
      </c>
      <c r="AF206" s="19">
        <v>43978</v>
      </c>
      <c r="AG206" s="19" t="s">
        <v>177</v>
      </c>
      <c r="AH206" s="31">
        <v>1</v>
      </c>
      <c r="AI206" s="31">
        <v>1</v>
      </c>
      <c r="AJ206" s="31">
        <v>1</v>
      </c>
      <c r="AK206" s="19" t="s">
        <v>151</v>
      </c>
      <c r="AL206" s="144" t="s">
        <v>61</v>
      </c>
      <c r="AM206" s="144" t="s">
        <v>61</v>
      </c>
      <c r="AN206" s="145" t="s">
        <v>540</v>
      </c>
    </row>
    <row r="207" spans="2:40" hidden="1" x14ac:dyDescent="0.25">
      <c r="B207" s="41">
        <f t="shared" si="42"/>
        <v>148</v>
      </c>
      <c r="C207" s="16">
        <v>20200525</v>
      </c>
      <c r="D207" s="15" t="s">
        <v>3</v>
      </c>
      <c r="E207" s="81" t="s">
        <v>489</v>
      </c>
      <c r="F207" s="74" t="s">
        <v>569</v>
      </c>
      <c r="G207" s="81">
        <v>1484917</v>
      </c>
      <c r="H207" s="52"/>
      <c r="I207" s="81" t="s">
        <v>510</v>
      </c>
      <c r="J207" s="52" t="s">
        <v>61</v>
      </c>
      <c r="K207" s="15" t="s">
        <v>185</v>
      </c>
      <c r="L207" s="15" t="s">
        <v>536</v>
      </c>
      <c r="M207" s="15" t="s">
        <v>537</v>
      </c>
      <c r="N207" s="15" t="s">
        <v>538</v>
      </c>
      <c r="O207" s="17" t="s">
        <v>61</v>
      </c>
      <c r="P207" s="17" t="s">
        <v>539</v>
      </c>
      <c r="Q207" s="18"/>
      <c r="R207" s="52"/>
      <c r="S207" s="15" t="s">
        <v>69</v>
      </c>
      <c r="T207" s="15"/>
      <c r="U207" s="15"/>
      <c r="V207" s="81">
        <v>16</v>
      </c>
      <c r="W207" s="15">
        <f t="shared" si="43"/>
        <v>16</v>
      </c>
      <c r="X207" s="15">
        <f t="shared" si="45"/>
        <v>16</v>
      </c>
      <c r="Y207" s="15">
        <f>ROUNDDOWN(W207/HLOOKUP(D207,Table!$C$3:$D$4,2,0)*8,2)</f>
        <v>0.28000000000000003</v>
      </c>
      <c r="Z207" s="15">
        <v>0.2</v>
      </c>
      <c r="AA207" s="15" t="s">
        <v>18</v>
      </c>
      <c r="AB207" s="19"/>
      <c r="AC207" s="19">
        <v>43976</v>
      </c>
      <c r="AD207" s="19">
        <v>43983</v>
      </c>
      <c r="AE207" s="19">
        <v>43978</v>
      </c>
      <c r="AF207" s="19">
        <v>43978</v>
      </c>
      <c r="AG207" s="19" t="s">
        <v>177</v>
      </c>
      <c r="AH207" s="31">
        <v>1</v>
      </c>
      <c r="AI207" s="31">
        <v>1</v>
      </c>
      <c r="AJ207" s="31">
        <v>1</v>
      </c>
      <c r="AK207" s="19" t="s">
        <v>151</v>
      </c>
      <c r="AL207" s="144" t="s">
        <v>61</v>
      </c>
      <c r="AM207" s="144" t="s">
        <v>61</v>
      </c>
      <c r="AN207" s="145" t="s">
        <v>540</v>
      </c>
    </row>
    <row r="208" spans="2:40" hidden="1" x14ac:dyDescent="0.25">
      <c r="B208" s="41">
        <f t="shared" si="42"/>
        <v>149</v>
      </c>
      <c r="C208" s="16">
        <v>20200525</v>
      </c>
      <c r="D208" s="15" t="s">
        <v>3</v>
      </c>
      <c r="E208" s="81" t="s">
        <v>489</v>
      </c>
      <c r="F208" s="74" t="s">
        <v>570</v>
      </c>
      <c r="G208" s="81">
        <v>1484917</v>
      </c>
      <c r="H208" s="52"/>
      <c r="I208" s="81" t="s">
        <v>511</v>
      </c>
      <c r="J208" s="52" t="s">
        <v>61</v>
      </c>
      <c r="K208" s="15" t="s">
        <v>185</v>
      </c>
      <c r="L208" s="15" t="s">
        <v>536</v>
      </c>
      <c r="M208" s="15" t="s">
        <v>537</v>
      </c>
      <c r="N208" s="15" t="s">
        <v>538</v>
      </c>
      <c r="O208" s="17" t="s">
        <v>61</v>
      </c>
      <c r="P208" s="17" t="s">
        <v>539</v>
      </c>
      <c r="Q208" s="18"/>
      <c r="R208" s="52"/>
      <c r="S208" s="15" t="s">
        <v>69</v>
      </c>
      <c r="T208" s="15"/>
      <c r="U208" s="15"/>
      <c r="V208" s="81">
        <v>8</v>
      </c>
      <c r="W208" s="15">
        <f t="shared" si="43"/>
        <v>8</v>
      </c>
      <c r="X208" s="15">
        <f t="shared" si="45"/>
        <v>8</v>
      </c>
      <c r="Y208" s="15">
        <f>ROUNDDOWN(W208/HLOOKUP(D208,Table!$C$3:$D$4,2,0)*8,2)</f>
        <v>0.14000000000000001</v>
      </c>
      <c r="Z208" s="15">
        <v>0.1</v>
      </c>
      <c r="AA208" s="15" t="s">
        <v>18</v>
      </c>
      <c r="AB208" s="19"/>
      <c r="AC208" s="19">
        <v>43976</v>
      </c>
      <c r="AD208" s="19">
        <v>43983</v>
      </c>
      <c r="AE208" s="19">
        <v>43978</v>
      </c>
      <c r="AF208" s="19">
        <v>43978</v>
      </c>
      <c r="AG208" s="19" t="s">
        <v>177</v>
      </c>
      <c r="AH208" s="31" t="s">
        <v>61</v>
      </c>
      <c r="AI208" s="31" t="s">
        <v>61</v>
      </c>
      <c r="AJ208" s="31" t="s">
        <v>61</v>
      </c>
      <c r="AK208" s="19" t="s">
        <v>151</v>
      </c>
      <c r="AL208" s="17" t="s">
        <v>671</v>
      </c>
      <c r="AM208" s="144" t="s">
        <v>61</v>
      </c>
      <c r="AN208" s="145" t="s">
        <v>540</v>
      </c>
    </row>
    <row r="209" spans="2:40" hidden="1" x14ac:dyDescent="0.25">
      <c r="B209" s="41">
        <f t="shared" si="42"/>
        <v>150</v>
      </c>
      <c r="C209" s="16">
        <v>20200525</v>
      </c>
      <c r="D209" s="15" t="s">
        <v>3</v>
      </c>
      <c r="E209" s="81" t="s">
        <v>489</v>
      </c>
      <c r="F209" s="74" t="s">
        <v>571</v>
      </c>
      <c r="G209" s="81">
        <v>1484917</v>
      </c>
      <c r="H209" s="52"/>
      <c r="I209" s="81" t="s">
        <v>228</v>
      </c>
      <c r="J209" s="52" t="s">
        <v>61</v>
      </c>
      <c r="K209" s="15" t="s">
        <v>185</v>
      </c>
      <c r="L209" s="15" t="s">
        <v>536</v>
      </c>
      <c r="M209" s="15" t="s">
        <v>537</v>
      </c>
      <c r="N209" s="15" t="s">
        <v>538</v>
      </c>
      <c r="O209" s="17" t="s">
        <v>61</v>
      </c>
      <c r="P209" s="17" t="s">
        <v>539</v>
      </c>
      <c r="Q209" s="18"/>
      <c r="R209" s="52"/>
      <c r="S209" s="15" t="s">
        <v>69</v>
      </c>
      <c r="T209" s="15"/>
      <c r="U209" s="15"/>
      <c r="V209" s="81">
        <v>162</v>
      </c>
      <c r="W209" s="15">
        <f t="shared" si="43"/>
        <v>162</v>
      </c>
      <c r="X209" s="15">
        <f t="shared" si="45"/>
        <v>162</v>
      </c>
      <c r="Y209" s="15">
        <f>ROUNDDOWN(W209/HLOOKUP(D209,Table!$C$3:$D$4,2,0)*8,2)</f>
        <v>2.88</v>
      </c>
      <c r="Z209" s="15">
        <v>2</v>
      </c>
      <c r="AA209" s="15" t="s">
        <v>18</v>
      </c>
      <c r="AB209" s="19"/>
      <c r="AC209" s="19">
        <v>43976</v>
      </c>
      <c r="AD209" s="19">
        <v>43983</v>
      </c>
      <c r="AE209" s="19">
        <v>43978</v>
      </c>
      <c r="AF209" s="19">
        <v>43978</v>
      </c>
      <c r="AG209" s="19" t="s">
        <v>177</v>
      </c>
      <c r="AH209" s="31">
        <v>1</v>
      </c>
      <c r="AI209" s="31">
        <v>1</v>
      </c>
      <c r="AJ209" s="31">
        <v>1</v>
      </c>
      <c r="AK209" s="19" t="s">
        <v>151</v>
      </c>
      <c r="AL209" s="144" t="s">
        <v>61</v>
      </c>
      <c r="AM209" s="144" t="s">
        <v>61</v>
      </c>
      <c r="AN209" s="145" t="s">
        <v>540</v>
      </c>
    </row>
    <row r="210" spans="2:40" hidden="1" x14ac:dyDescent="0.25">
      <c r="B210" s="41">
        <f t="shared" si="42"/>
        <v>151</v>
      </c>
      <c r="C210" s="16">
        <v>20200525</v>
      </c>
      <c r="D210" s="15" t="s">
        <v>3</v>
      </c>
      <c r="E210" s="81" t="s">
        <v>489</v>
      </c>
      <c r="F210" s="74" t="s">
        <v>572</v>
      </c>
      <c r="G210" s="81">
        <v>1484917</v>
      </c>
      <c r="H210" s="52"/>
      <c r="I210" s="81" t="s">
        <v>228</v>
      </c>
      <c r="J210" s="52" t="s">
        <v>61</v>
      </c>
      <c r="K210" s="15" t="s">
        <v>185</v>
      </c>
      <c r="L210" s="15" t="s">
        <v>536</v>
      </c>
      <c r="M210" s="15" t="s">
        <v>537</v>
      </c>
      <c r="N210" s="15" t="s">
        <v>538</v>
      </c>
      <c r="O210" s="17" t="s">
        <v>61</v>
      </c>
      <c r="P210" s="17" t="s">
        <v>539</v>
      </c>
      <c r="Q210" s="18"/>
      <c r="R210" s="52"/>
      <c r="S210" s="15" t="s">
        <v>69</v>
      </c>
      <c r="T210" s="15"/>
      <c r="U210" s="15"/>
      <c r="V210" s="81">
        <v>162</v>
      </c>
      <c r="W210" s="85">
        <f>V210-162+209</f>
        <v>209</v>
      </c>
      <c r="X210" s="15">
        <f t="shared" si="45"/>
        <v>209</v>
      </c>
      <c r="Y210" s="15">
        <f>ROUNDDOWN(W210/HLOOKUP(D210,Table!$C$3:$D$4,2,0)*8,2)</f>
        <v>3.71</v>
      </c>
      <c r="Z210" s="15">
        <v>2</v>
      </c>
      <c r="AA210" s="15" t="s">
        <v>18</v>
      </c>
      <c r="AB210" s="19"/>
      <c r="AC210" s="19">
        <v>43976</v>
      </c>
      <c r="AD210" s="19">
        <v>43983</v>
      </c>
      <c r="AE210" s="19">
        <v>43978</v>
      </c>
      <c r="AF210" s="19">
        <v>43978</v>
      </c>
      <c r="AG210" s="19" t="s">
        <v>177</v>
      </c>
      <c r="AH210" s="31">
        <v>1</v>
      </c>
      <c r="AI210" s="31">
        <v>1</v>
      </c>
      <c r="AJ210" s="31">
        <v>1</v>
      </c>
      <c r="AK210" s="19" t="s">
        <v>151</v>
      </c>
      <c r="AL210" s="144" t="s">
        <v>61</v>
      </c>
      <c r="AM210" s="144" t="s">
        <v>61</v>
      </c>
      <c r="AN210" s="145" t="s">
        <v>540</v>
      </c>
    </row>
    <row r="211" spans="2:40" x14ac:dyDescent="0.25">
      <c r="B211" s="41">
        <f t="shared" si="42"/>
        <v>152</v>
      </c>
      <c r="C211" s="16">
        <v>20200525</v>
      </c>
      <c r="D211" s="15" t="s">
        <v>3</v>
      </c>
      <c r="E211" s="81" t="s">
        <v>489</v>
      </c>
      <c r="F211" s="74" t="s">
        <v>573</v>
      </c>
      <c r="G211" s="81">
        <v>1484917</v>
      </c>
      <c r="H211" s="52"/>
      <c r="I211" s="81" t="s">
        <v>512</v>
      </c>
      <c r="J211" s="52" t="s">
        <v>61</v>
      </c>
      <c r="K211" s="15" t="s">
        <v>185</v>
      </c>
      <c r="L211" s="15" t="s">
        <v>536</v>
      </c>
      <c r="M211" s="15" t="s">
        <v>537</v>
      </c>
      <c r="N211" s="15" t="s">
        <v>538</v>
      </c>
      <c r="O211" s="17" t="s">
        <v>61</v>
      </c>
      <c r="P211" s="17" t="s">
        <v>539</v>
      </c>
      <c r="Q211" s="18"/>
      <c r="R211" s="52"/>
      <c r="S211" s="15" t="s">
        <v>143</v>
      </c>
      <c r="T211" s="15"/>
      <c r="U211" s="15"/>
      <c r="V211" s="81">
        <v>17</v>
      </c>
      <c r="W211" s="15">
        <f t="shared" si="43"/>
        <v>17</v>
      </c>
      <c r="X211" s="15">
        <f t="shared" si="45"/>
        <v>17</v>
      </c>
      <c r="Y211" s="15">
        <f>ROUNDDOWN(W211/HLOOKUP(D211,Table!$C$3:$D$4,2,0)*8,2)</f>
        <v>0.3</v>
      </c>
      <c r="Z211" s="15">
        <v>0.1</v>
      </c>
      <c r="AA211" s="15" t="s">
        <v>18</v>
      </c>
      <c r="AB211" s="19"/>
      <c r="AC211" s="19">
        <v>43976</v>
      </c>
      <c r="AD211" s="19">
        <v>43983</v>
      </c>
      <c r="AE211" s="19">
        <v>43978</v>
      </c>
      <c r="AF211" s="19">
        <v>43978</v>
      </c>
      <c r="AG211" s="19" t="s">
        <v>177</v>
      </c>
      <c r="AH211" s="31">
        <v>1</v>
      </c>
      <c r="AI211" s="31">
        <v>1</v>
      </c>
      <c r="AJ211" s="31">
        <v>1</v>
      </c>
      <c r="AK211" s="19" t="s">
        <v>151</v>
      </c>
      <c r="AL211" s="144" t="s">
        <v>61</v>
      </c>
      <c r="AM211" s="144" t="s">
        <v>61</v>
      </c>
      <c r="AN211" s="145" t="s">
        <v>540</v>
      </c>
    </row>
    <row r="212" spans="2:40" hidden="1" x14ac:dyDescent="0.25">
      <c r="B212" s="41">
        <f t="shared" si="42"/>
        <v>153</v>
      </c>
      <c r="C212" s="16">
        <v>20200525</v>
      </c>
      <c r="D212" s="15" t="s">
        <v>3</v>
      </c>
      <c r="E212" s="81" t="s">
        <v>489</v>
      </c>
      <c r="F212" s="74" t="s">
        <v>574</v>
      </c>
      <c r="G212" s="81">
        <v>1484917</v>
      </c>
      <c r="H212" s="52"/>
      <c r="I212" s="81" t="s">
        <v>513</v>
      </c>
      <c r="J212" s="52" t="s">
        <v>61</v>
      </c>
      <c r="K212" s="15" t="s">
        <v>185</v>
      </c>
      <c r="L212" s="15" t="s">
        <v>536</v>
      </c>
      <c r="M212" s="15" t="s">
        <v>537</v>
      </c>
      <c r="N212" s="15" t="s">
        <v>538</v>
      </c>
      <c r="O212" s="17" t="s">
        <v>61</v>
      </c>
      <c r="P212" s="17" t="s">
        <v>539</v>
      </c>
      <c r="Q212" s="18"/>
      <c r="R212" s="52"/>
      <c r="S212" s="15" t="s">
        <v>69</v>
      </c>
      <c r="T212" s="15"/>
      <c r="U212" s="15"/>
      <c r="V212" s="81">
        <v>18</v>
      </c>
      <c r="W212" s="15">
        <f t="shared" si="43"/>
        <v>18</v>
      </c>
      <c r="X212" s="15">
        <f t="shared" si="45"/>
        <v>18</v>
      </c>
      <c r="Y212" s="15">
        <f>ROUNDDOWN(W212/HLOOKUP(D212,Table!$C$3:$D$4,2,0)*8,2)</f>
        <v>0.32</v>
      </c>
      <c r="Z212" s="15">
        <v>0.3</v>
      </c>
      <c r="AA212" s="15" t="s">
        <v>18</v>
      </c>
      <c r="AB212" s="19"/>
      <c r="AC212" s="19">
        <v>43976</v>
      </c>
      <c r="AD212" s="19">
        <v>43983</v>
      </c>
      <c r="AE212" s="19">
        <v>43978</v>
      </c>
      <c r="AF212" s="19">
        <v>43978</v>
      </c>
      <c r="AG212" s="19" t="s">
        <v>177</v>
      </c>
      <c r="AH212" s="31">
        <v>1</v>
      </c>
      <c r="AI212" s="31">
        <v>1</v>
      </c>
      <c r="AJ212" s="31">
        <v>1</v>
      </c>
      <c r="AK212" s="19" t="s">
        <v>151</v>
      </c>
      <c r="AL212" s="144" t="s">
        <v>61</v>
      </c>
      <c r="AM212" s="144" t="s">
        <v>61</v>
      </c>
      <c r="AN212" s="145" t="s">
        <v>540</v>
      </c>
    </row>
    <row r="213" spans="2:40" hidden="1" x14ac:dyDescent="0.25">
      <c r="B213" s="41">
        <f t="shared" si="42"/>
        <v>154</v>
      </c>
      <c r="C213" s="16">
        <v>20200525</v>
      </c>
      <c r="D213" s="15" t="s">
        <v>3</v>
      </c>
      <c r="E213" s="81" t="s">
        <v>489</v>
      </c>
      <c r="F213" s="74" t="s">
        <v>575</v>
      </c>
      <c r="G213" s="81">
        <v>1484917</v>
      </c>
      <c r="H213" s="52"/>
      <c r="I213" s="81" t="s">
        <v>513</v>
      </c>
      <c r="J213" s="52" t="s">
        <v>61</v>
      </c>
      <c r="K213" s="15" t="s">
        <v>185</v>
      </c>
      <c r="L213" s="15" t="s">
        <v>536</v>
      </c>
      <c r="M213" s="15" t="s">
        <v>537</v>
      </c>
      <c r="N213" s="15" t="s">
        <v>538</v>
      </c>
      <c r="O213" s="17" t="s">
        <v>61</v>
      </c>
      <c r="P213" s="17" t="s">
        <v>539</v>
      </c>
      <c r="Q213" s="18"/>
      <c r="R213" s="52"/>
      <c r="S213" s="15" t="s">
        <v>69</v>
      </c>
      <c r="T213" s="15"/>
      <c r="U213" s="15"/>
      <c r="V213" s="81">
        <v>18</v>
      </c>
      <c r="W213" s="15">
        <f t="shared" si="43"/>
        <v>18</v>
      </c>
      <c r="X213" s="15">
        <f t="shared" si="45"/>
        <v>18</v>
      </c>
      <c r="Y213" s="15">
        <f>ROUNDDOWN(W213/HLOOKUP(D213,Table!$C$3:$D$4,2,0)*8,2)</f>
        <v>0.32</v>
      </c>
      <c r="Z213" s="15">
        <v>0.3</v>
      </c>
      <c r="AA213" s="15" t="s">
        <v>18</v>
      </c>
      <c r="AB213" s="19"/>
      <c r="AC213" s="19">
        <v>43976</v>
      </c>
      <c r="AD213" s="19">
        <v>43983</v>
      </c>
      <c r="AE213" s="19">
        <v>43978</v>
      </c>
      <c r="AF213" s="19">
        <v>43978</v>
      </c>
      <c r="AG213" s="19" t="s">
        <v>177</v>
      </c>
      <c r="AH213" s="31">
        <v>1</v>
      </c>
      <c r="AI213" s="31">
        <v>1</v>
      </c>
      <c r="AJ213" s="31">
        <v>1</v>
      </c>
      <c r="AK213" s="19" t="s">
        <v>151</v>
      </c>
      <c r="AL213" s="144" t="s">
        <v>61</v>
      </c>
      <c r="AM213" s="144" t="s">
        <v>61</v>
      </c>
      <c r="AN213" s="145" t="s">
        <v>540</v>
      </c>
    </row>
    <row r="214" spans="2:40" hidden="1" x14ac:dyDescent="0.25">
      <c r="B214" s="41">
        <f t="shared" si="42"/>
        <v>155</v>
      </c>
      <c r="C214" s="16">
        <v>20200525</v>
      </c>
      <c r="D214" s="15" t="s">
        <v>3</v>
      </c>
      <c r="E214" s="81" t="s">
        <v>489</v>
      </c>
      <c r="F214" s="74" t="s">
        <v>576</v>
      </c>
      <c r="G214" s="81">
        <v>1484917</v>
      </c>
      <c r="H214" s="52"/>
      <c r="I214" s="81" t="s">
        <v>514</v>
      </c>
      <c r="J214" s="52" t="s">
        <v>61</v>
      </c>
      <c r="K214" s="15" t="s">
        <v>185</v>
      </c>
      <c r="L214" s="15" t="s">
        <v>536</v>
      </c>
      <c r="M214" s="15" t="s">
        <v>537</v>
      </c>
      <c r="N214" s="15" t="s">
        <v>538</v>
      </c>
      <c r="O214" s="17" t="s">
        <v>61</v>
      </c>
      <c r="P214" s="17" t="s">
        <v>539</v>
      </c>
      <c r="Q214" s="18"/>
      <c r="R214" s="52"/>
      <c r="S214" s="15" t="s">
        <v>67</v>
      </c>
      <c r="T214" s="15"/>
      <c r="U214" s="15"/>
      <c r="V214" s="81">
        <v>44</v>
      </c>
      <c r="W214" s="15">
        <f t="shared" si="43"/>
        <v>44</v>
      </c>
      <c r="X214" s="15"/>
      <c r="Y214" s="15">
        <f>ROUNDDOWN(W214/HLOOKUP(D214,Table!$C$3:$D$4,2,0)*8,2)</f>
        <v>0.78</v>
      </c>
      <c r="Z214" s="15"/>
      <c r="AA214" s="15"/>
      <c r="AB214" s="19"/>
      <c r="AC214" s="19">
        <v>43976</v>
      </c>
      <c r="AD214" s="19">
        <v>43983</v>
      </c>
      <c r="AE214" s="19"/>
      <c r="AF214" s="19"/>
      <c r="AG214" s="19"/>
      <c r="AH214" s="31"/>
      <c r="AI214" s="31"/>
      <c r="AJ214" s="31"/>
      <c r="AK214" s="19"/>
      <c r="AL214" s="144" t="s">
        <v>61</v>
      </c>
      <c r="AM214" s="144" t="s">
        <v>61</v>
      </c>
      <c r="AN214" s="145" t="s">
        <v>540</v>
      </c>
    </row>
    <row r="215" spans="2:40" hidden="1" x14ac:dyDescent="0.25">
      <c r="B215" s="41">
        <f t="shared" ref="B215:B240" si="46">B214+1</f>
        <v>156</v>
      </c>
      <c r="C215" s="16">
        <v>20200525</v>
      </c>
      <c r="D215" s="15" t="s">
        <v>3</v>
      </c>
      <c r="E215" s="81" t="s">
        <v>489</v>
      </c>
      <c r="F215" s="74" t="s">
        <v>577</v>
      </c>
      <c r="G215" s="81">
        <v>1484917</v>
      </c>
      <c r="H215" s="52"/>
      <c r="I215" s="81" t="s">
        <v>515</v>
      </c>
      <c r="J215" s="52" t="s">
        <v>61</v>
      </c>
      <c r="K215" s="15" t="s">
        <v>185</v>
      </c>
      <c r="L215" s="15" t="s">
        <v>536</v>
      </c>
      <c r="M215" s="15" t="s">
        <v>537</v>
      </c>
      <c r="N215" s="15" t="s">
        <v>538</v>
      </c>
      <c r="O215" s="17" t="s">
        <v>61</v>
      </c>
      <c r="P215" s="17" t="s">
        <v>539</v>
      </c>
      <c r="Q215" s="18"/>
      <c r="R215" s="52"/>
      <c r="S215" s="15" t="s">
        <v>70</v>
      </c>
      <c r="T215" s="15"/>
      <c r="U215" s="15"/>
      <c r="V215" s="81">
        <v>129</v>
      </c>
      <c r="W215" s="15">
        <f t="shared" ref="W215:W240" si="47">V215</f>
        <v>129</v>
      </c>
      <c r="X215" s="15">
        <f>W215</f>
        <v>129</v>
      </c>
      <c r="Y215" s="15">
        <f>ROUNDDOWN(W215/HLOOKUP(D215,Table!$C$3:$D$4,2,0)*8,2)</f>
        <v>2.29</v>
      </c>
      <c r="Z215" s="15">
        <v>1</v>
      </c>
      <c r="AA215" s="15" t="s">
        <v>18</v>
      </c>
      <c r="AB215" s="19"/>
      <c r="AC215" s="19">
        <v>43976</v>
      </c>
      <c r="AD215" s="19">
        <v>43983</v>
      </c>
      <c r="AE215" s="19">
        <v>43977</v>
      </c>
      <c r="AF215" s="19">
        <v>43977</v>
      </c>
      <c r="AG215" s="19" t="s">
        <v>177</v>
      </c>
      <c r="AH215" s="31">
        <v>1</v>
      </c>
      <c r="AI215" s="31">
        <v>1</v>
      </c>
      <c r="AJ215" s="31">
        <v>1</v>
      </c>
      <c r="AK215" s="19" t="s">
        <v>151</v>
      </c>
      <c r="AL215" s="144" t="s">
        <v>61</v>
      </c>
      <c r="AM215" s="144" t="s">
        <v>61</v>
      </c>
      <c r="AN215" s="145" t="s">
        <v>540</v>
      </c>
    </row>
    <row r="216" spans="2:40" hidden="1" x14ac:dyDescent="0.25">
      <c r="B216" s="41">
        <f t="shared" si="46"/>
        <v>157</v>
      </c>
      <c r="C216" s="16">
        <v>20200525</v>
      </c>
      <c r="D216" s="15" t="s">
        <v>3</v>
      </c>
      <c r="E216" s="81" t="s">
        <v>489</v>
      </c>
      <c r="F216" s="74" t="s">
        <v>578</v>
      </c>
      <c r="G216" s="81">
        <v>1484917</v>
      </c>
      <c r="H216" s="52"/>
      <c r="I216" s="81" t="s">
        <v>516</v>
      </c>
      <c r="J216" s="52" t="s">
        <v>61</v>
      </c>
      <c r="K216" s="15" t="s">
        <v>185</v>
      </c>
      <c r="L216" s="15" t="s">
        <v>536</v>
      </c>
      <c r="M216" s="15" t="s">
        <v>537</v>
      </c>
      <c r="N216" s="15" t="s">
        <v>538</v>
      </c>
      <c r="O216" s="17" t="s">
        <v>61</v>
      </c>
      <c r="P216" s="17" t="s">
        <v>539</v>
      </c>
      <c r="Q216" s="18"/>
      <c r="R216" s="52"/>
      <c r="S216" s="15" t="s">
        <v>70</v>
      </c>
      <c r="T216" s="15"/>
      <c r="U216" s="15"/>
      <c r="V216" s="81">
        <v>164</v>
      </c>
      <c r="W216" s="15">
        <f t="shared" si="47"/>
        <v>164</v>
      </c>
      <c r="X216" s="15">
        <f>W216</f>
        <v>164</v>
      </c>
      <c r="Y216" s="15">
        <f>ROUNDDOWN(W216/HLOOKUP(D216,Table!$C$3:$D$4,2,0)*8,2)</f>
        <v>2.91</v>
      </c>
      <c r="Z216" s="15">
        <v>1</v>
      </c>
      <c r="AA216" s="15" t="s">
        <v>18</v>
      </c>
      <c r="AB216" s="19"/>
      <c r="AC216" s="19">
        <v>43976</v>
      </c>
      <c r="AD216" s="19">
        <v>43983</v>
      </c>
      <c r="AE216" s="19">
        <v>43978</v>
      </c>
      <c r="AF216" s="19">
        <v>43978</v>
      </c>
      <c r="AG216" s="19" t="s">
        <v>177</v>
      </c>
      <c r="AH216" s="31">
        <v>1</v>
      </c>
      <c r="AI216" s="31">
        <v>1</v>
      </c>
      <c r="AJ216" s="31">
        <v>1</v>
      </c>
      <c r="AK216" s="19" t="s">
        <v>151</v>
      </c>
      <c r="AL216" s="144" t="s">
        <v>61</v>
      </c>
      <c r="AM216" s="144" t="s">
        <v>61</v>
      </c>
      <c r="AN216" s="145" t="s">
        <v>540</v>
      </c>
    </row>
    <row r="217" spans="2:40" hidden="1" x14ac:dyDescent="0.25">
      <c r="B217" s="41">
        <f t="shared" si="46"/>
        <v>158</v>
      </c>
      <c r="C217" s="16">
        <v>20200525</v>
      </c>
      <c r="D217" s="15" t="s">
        <v>3</v>
      </c>
      <c r="E217" s="81" t="s">
        <v>489</v>
      </c>
      <c r="F217" s="74" t="s">
        <v>579</v>
      </c>
      <c r="G217" s="81">
        <v>1484917</v>
      </c>
      <c r="H217" s="52"/>
      <c r="I217" s="81" t="s">
        <v>516</v>
      </c>
      <c r="J217" s="52" t="s">
        <v>61</v>
      </c>
      <c r="K217" s="15" t="s">
        <v>185</v>
      </c>
      <c r="L217" s="15" t="s">
        <v>536</v>
      </c>
      <c r="M217" s="15" t="s">
        <v>537</v>
      </c>
      <c r="N217" s="15" t="s">
        <v>538</v>
      </c>
      <c r="O217" s="17" t="s">
        <v>61</v>
      </c>
      <c r="P217" s="17" t="s">
        <v>539</v>
      </c>
      <c r="Q217" s="18"/>
      <c r="R217" s="52"/>
      <c r="S217" s="15" t="s">
        <v>70</v>
      </c>
      <c r="T217" s="15"/>
      <c r="U217" s="15"/>
      <c r="V217" s="81">
        <v>164</v>
      </c>
      <c r="W217" s="85">
        <v>196</v>
      </c>
      <c r="X217" s="15">
        <f>W217</f>
        <v>196</v>
      </c>
      <c r="Y217" s="15">
        <f>ROUNDDOWN(W217/HLOOKUP(D217,Table!$C$3:$D$4,2,0)*8,2)</f>
        <v>3.48</v>
      </c>
      <c r="Z217" s="15">
        <v>1</v>
      </c>
      <c r="AA217" s="15" t="s">
        <v>18</v>
      </c>
      <c r="AB217" s="19"/>
      <c r="AC217" s="19">
        <v>43976</v>
      </c>
      <c r="AD217" s="19">
        <v>43983</v>
      </c>
      <c r="AE217" s="19">
        <v>43978</v>
      </c>
      <c r="AF217" s="19">
        <v>43978</v>
      </c>
      <c r="AG217" s="19" t="s">
        <v>177</v>
      </c>
      <c r="AH217" s="31">
        <v>1</v>
      </c>
      <c r="AI217" s="31">
        <v>1</v>
      </c>
      <c r="AJ217" s="31">
        <v>1</v>
      </c>
      <c r="AK217" s="19" t="s">
        <v>151</v>
      </c>
      <c r="AL217" s="144" t="s">
        <v>61</v>
      </c>
      <c r="AM217" s="144" t="s">
        <v>61</v>
      </c>
      <c r="AN217" s="145" t="s">
        <v>540</v>
      </c>
    </row>
    <row r="218" spans="2:40" x14ac:dyDescent="0.25">
      <c r="B218" s="41">
        <f t="shared" si="46"/>
        <v>159</v>
      </c>
      <c r="C218" s="16">
        <v>20200525</v>
      </c>
      <c r="D218" s="15" t="s">
        <v>3</v>
      </c>
      <c r="E218" s="81" t="s">
        <v>489</v>
      </c>
      <c r="F218" s="74" t="s">
        <v>580</v>
      </c>
      <c r="G218" s="81">
        <v>1484917</v>
      </c>
      <c r="H218" s="52"/>
      <c r="I218" s="81" t="s">
        <v>517</v>
      </c>
      <c r="J218" s="52" t="s">
        <v>61</v>
      </c>
      <c r="K218" s="15" t="s">
        <v>185</v>
      </c>
      <c r="L218" s="15" t="s">
        <v>536</v>
      </c>
      <c r="M218" s="15" t="s">
        <v>537</v>
      </c>
      <c r="N218" s="15" t="s">
        <v>538</v>
      </c>
      <c r="O218" s="17" t="s">
        <v>61</v>
      </c>
      <c r="P218" s="17" t="s">
        <v>539</v>
      </c>
      <c r="Q218" s="18"/>
      <c r="R218" s="52"/>
      <c r="S218" s="15" t="s">
        <v>143</v>
      </c>
      <c r="T218" s="15"/>
      <c r="U218" s="15"/>
      <c r="V218" s="81">
        <v>133</v>
      </c>
      <c r="W218" s="15">
        <f t="shared" si="47"/>
        <v>133</v>
      </c>
      <c r="X218" s="15">
        <f>W218</f>
        <v>133</v>
      </c>
      <c r="Y218" s="15">
        <f>ROUNDDOWN(W218/HLOOKUP(D218,Table!$C$3:$D$4,2,0)*8,2)</f>
        <v>2.36</v>
      </c>
      <c r="Z218" s="15">
        <v>0.75</v>
      </c>
      <c r="AA218" s="15" t="s">
        <v>18</v>
      </c>
      <c r="AB218" s="19"/>
      <c r="AC218" s="19">
        <v>43976</v>
      </c>
      <c r="AD218" s="19">
        <v>43983</v>
      </c>
      <c r="AE218" s="19">
        <v>43977</v>
      </c>
      <c r="AF218" s="19">
        <v>43977</v>
      </c>
      <c r="AG218" s="19" t="s">
        <v>177</v>
      </c>
      <c r="AH218" s="31">
        <v>1</v>
      </c>
      <c r="AI218" s="31">
        <v>1</v>
      </c>
      <c r="AJ218" s="31">
        <v>1</v>
      </c>
      <c r="AK218" s="19" t="s">
        <v>151</v>
      </c>
      <c r="AL218" s="144" t="s">
        <v>61</v>
      </c>
      <c r="AM218" s="144" t="s">
        <v>61</v>
      </c>
      <c r="AN218" s="145" t="s">
        <v>540</v>
      </c>
    </row>
    <row r="219" spans="2:40" hidden="1" x14ac:dyDescent="0.25">
      <c r="B219" s="41">
        <f t="shared" si="46"/>
        <v>160</v>
      </c>
      <c r="C219" s="16">
        <v>20200525</v>
      </c>
      <c r="D219" s="15" t="s">
        <v>3</v>
      </c>
      <c r="E219" s="81" t="s">
        <v>489</v>
      </c>
      <c r="F219" s="74" t="s">
        <v>581</v>
      </c>
      <c r="G219" s="81">
        <v>1484917</v>
      </c>
      <c r="H219" s="52"/>
      <c r="I219" s="81" t="s">
        <v>518</v>
      </c>
      <c r="J219" s="52" t="s">
        <v>61</v>
      </c>
      <c r="K219" s="15" t="s">
        <v>185</v>
      </c>
      <c r="L219" s="15" t="s">
        <v>536</v>
      </c>
      <c r="M219" s="15" t="s">
        <v>537</v>
      </c>
      <c r="N219" s="15" t="s">
        <v>538</v>
      </c>
      <c r="O219" s="17" t="s">
        <v>61</v>
      </c>
      <c r="P219" s="17" t="s">
        <v>539</v>
      </c>
      <c r="Q219" s="18"/>
      <c r="R219" s="52"/>
      <c r="S219" s="15" t="s">
        <v>69</v>
      </c>
      <c r="T219" s="15"/>
      <c r="U219" s="15"/>
      <c r="V219" s="81">
        <v>188</v>
      </c>
      <c r="W219" s="15">
        <f t="shared" si="47"/>
        <v>188</v>
      </c>
      <c r="X219" s="15">
        <f>W219</f>
        <v>188</v>
      </c>
      <c r="Y219" s="15">
        <f>ROUNDDOWN(W219/HLOOKUP(D219,Table!$C$3:$D$4,2,0)*8,2)</f>
        <v>3.34</v>
      </c>
      <c r="Z219" s="15">
        <v>3</v>
      </c>
      <c r="AA219" s="15" t="s">
        <v>18</v>
      </c>
      <c r="AB219" s="19"/>
      <c r="AC219" s="19">
        <v>43976</v>
      </c>
      <c r="AD219" s="19">
        <v>43983</v>
      </c>
      <c r="AE219" s="19">
        <v>43978</v>
      </c>
      <c r="AF219" s="19">
        <v>43978</v>
      </c>
      <c r="AG219" s="19" t="s">
        <v>177</v>
      </c>
      <c r="AH219" s="31">
        <v>1</v>
      </c>
      <c r="AI219" s="31">
        <v>1</v>
      </c>
      <c r="AJ219" s="31">
        <v>1</v>
      </c>
      <c r="AK219" s="19" t="s">
        <v>151</v>
      </c>
      <c r="AL219" s="144" t="s">
        <v>61</v>
      </c>
      <c r="AM219" s="144" t="s">
        <v>61</v>
      </c>
      <c r="AN219" s="145" t="s">
        <v>540</v>
      </c>
    </row>
    <row r="220" spans="2:40" hidden="1" x14ac:dyDescent="0.25">
      <c r="B220" s="41">
        <f t="shared" si="46"/>
        <v>161</v>
      </c>
      <c r="C220" s="16">
        <v>20200525</v>
      </c>
      <c r="D220" s="15" t="s">
        <v>3</v>
      </c>
      <c r="E220" s="81" t="s">
        <v>489</v>
      </c>
      <c r="F220" s="74" t="s">
        <v>582</v>
      </c>
      <c r="G220" s="81">
        <v>1484917</v>
      </c>
      <c r="H220" s="52"/>
      <c r="I220" s="81" t="s">
        <v>260</v>
      </c>
      <c r="J220" s="52" t="s">
        <v>61</v>
      </c>
      <c r="K220" s="15" t="s">
        <v>185</v>
      </c>
      <c r="L220" s="15" t="s">
        <v>536</v>
      </c>
      <c r="M220" s="15" t="s">
        <v>537</v>
      </c>
      <c r="N220" s="15" t="s">
        <v>538</v>
      </c>
      <c r="O220" s="17" t="s">
        <v>61</v>
      </c>
      <c r="P220" s="17" t="s">
        <v>539</v>
      </c>
      <c r="Q220" s="18"/>
      <c r="R220" s="52"/>
      <c r="S220" s="15" t="s">
        <v>67</v>
      </c>
      <c r="T220" s="15"/>
      <c r="U220" s="15"/>
      <c r="V220" s="81">
        <v>55</v>
      </c>
      <c r="W220" s="15">
        <f t="shared" si="47"/>
        <v>55</v>
      </c>
      <c r="X220" s="15"/>
      <c r="Y220" s="15">
        <f>ROUNDDOWN(W220/HLOOKUP(D220,Table!$C$3:$D$4,2,0)*8,2)</f>
        <v>0.97</v>
      </c>
      <c r="Z220" s="15"/>
      <c r="AA220" s="15"/>
      <c r="AB220" s="19"/>
      <c r="AC220" s="19">
        <v>43976</v>
      </c>
      <c r="AD220" s="19">
        <v>43983</v>
      </c>
      <c r="AE220" s="19"/>
      <c r="AF220" s="19"/>
      <c r="AG220" s="19"/>
      <c r="AH220" s="31"/>
      <c r="AI220" s="31"/>
      <c r="AJ220" s="31"/>
      <c r="AK220" s="19"/>
      <c r="AL220" s="144" t="s">
        <v>61</v>
      </c>
      <c r="AM220" s="144" t="s">
        <v>61</v>
      </c>
      <c r="AN220" s="145" t="s">
        <v>540</v>
      </c>
    </row>
    <row r="221" spans="2:40" hidden="1" x14ac:dyDescent="0.25">
      <c r="B221" s="41">
        <f t="shared" si="46"/>
        <v>162</v>
      </c>
      <c r="C221" s="16">
        <v>20200525</v>
      </c>
      <c r="D221" s="15" t="s">
        <v>3</v>
      </c>
      <c r="E221" s="81" t="s">
        <v>489</v>
      </c>
      <c r="F221" s="74" t="s">
        <v>583</v>
      </c>
      <c r="G221" s="81">
        <v>1484917</v>
      </c>
      <c r="H221" s="52"/>
      <c r="I221" s="81" t="s">
        <v>519</v>
      </c>
      <c r="J221" s="52" t="s">
        <v>61</v>
      </c>
      <c r="K221" s="15" t="s">
        <v>185</v>
      </c>
      <c r="L221" s="15" t="s">
        <v>536</v>
      </c>
      <c r="M221" s="15" t="s">
        <v>537</v>
      </c>
      <c r="N221" s="15" t="s">
        <v>538</v>
      </c>
      <c r="O221" s="17" t="s">
        <v>61</v>
      </c>
      <c r="P221" s="17" t="s">
        <v>539</v>
      </c>
      <c r="Q221" s="18"/>
      <c r="R221" s="52"/>
      <c r="S221" s="15" t="s">
        <v>67</v>
      </c>
      <c r="T221" s="15"/>
      <c r="U221" s="15"/>
      <c r="V221" s="81">
        <v>197</v>
      </c>
      <c r="W221" s="15">
        <f t="shared" si="47"/>
        <v>197</v>
      </c>
      <c r="X221" s="15"/>
      <c r="Y221" s="15">
        <f>ROUNDDOWN(W221/HLOOKUP(D221,Table!$C$3:$D$4,2,0)*8,2)</f>
        <v>3.5</v>
      </c>
      <c r="Z221" s="15"/>
      <c r="AA221" s="15"/>
      <c r="AB221" s="19"/>
      <c r="AC221" s="19">
        <v>43976</v>
      </c>
      <c r="AD221" s="19">
        <v>43983</v>
      </c>
      <c r="AE221" s="19"/>
      <c r="AF221" s="19"/>
      <c r="AG221" s="19"/>
      <c r="AH221" s="31"/>
      <c r="AI221" s="31"/>
      <c r="AJ221" s="31"/>
      <c r="AK221" s="19"/>
      <c r="AL221" s="144" t="s">
        <v>61</v>
      </c>
      <c r="AM221" s="144" t="s">
        <v>61</v>
      </c>
      <c r="AN221" s="145" t="s">
        <v>540</v>
      </c>
    </row>
    <row r="222" spans="2:40" hidden="1" x14ac:dyDescent="0.25">
      <c r="B222" s="41">
        <f t="shared" si="46"/>
        <v>163</v>
      </c>
      <c r="C222" s="16">
        <v>20200525</v>
      </c>
      <c r="D222" s="15" t="s">
        <v>3</v>
      </c>
      <c r="E222" s="81" t="s">
        <v>489</v>
      </c>
      <c r="F222" s="74" t="s">
        <v>584</v>
      </c>
      <c r="G222" s="81">
        <v>1484917</v>
      </c>
      <c r="H222" s="52"/>
      <c r="I222" s="81" t="s">
        <v>520</v>
      </c>
      <c r="J222" s="52" t="s">
        <v>61</v>
      </c>
      <c r="K222" s="15" t="s">
        <v>185</v>
      </c>
      <c r="L222" s="15" t="s">
        <v>536</v>
      </c>
      <c r="M222" s="15" t="s">
        <v>537</v>
      </c>
      <c r="N222" s="15" t="s">
        <v>538</v>
      </c>
      <c r="O222" s="17" t="s">
        <v>61</v>
      </c>
      <c r="P222" s="17" t="s">
        <v>539</v>
      </c>
      <c r="Q222" s="18"/>
      <c r="R222" s="52"/>
      <c r="S222" s="15" t="s">
        <v>67</v>
      </c>
      <c r="T222" s="15"/>
      <c r="U222" s="15"/>
      <c r="V222" s="81">
        <v>175</v>
      </c>
      <c r="W222" s="15">
        <f t="shared" si="47"/>
        <v>175</v>
      </c>
      <c r="X222" s="15"/>
      <c r="Y222" s="15">
        <f>ROUNDDOWN(W222/HLOOKUP(D222,Table!$C$3:$D$4,2,0)*8,2)</f>
        <v>3.11</v>
      </c>
      <c r="Z222" s="15"/>
      <c r="AA222" s="15"/>
      <c r="AB222" s="19"/>
      <c r="AC222" s="19">
        <v>43976</v>
      </c>
      <c r="AD222" s="19">
        <v>43983</v>
      </c>
      <c r="AE222" s="19"/>
      <c r="AF222" s="19"/>
      <c r="AG222" s="19"/>
      <c r="AH222" s="31"/>
      <c r="AI222" s="31"/>
      <c r="AJ222" s="31"/>
      <c r="AK222" s="19"/>
      <c r="AL222" s="144" t="s">
        <v>61</v>
      </c>
      <c r="AM222" s="144" t="s">
        <v>61</v>
      </c>
      <c r="AN222" s="145" t="s">
        <v>540</v>
      </c>
    </row>
    <row r="223" spans="2:40" hidden="1" x14ac:dyDescent="0.25">
      <c r="B223" s="41">
        <f t="shared" si="46"/>
        <v>164</v>
      </c>
      <c r="C223" s="16">
        <v>20200525</v>
      </c>
      <c r="D223" s="15" t="s">
        <v>3</v>
      </c>
      <c r="E223" s="81" t="s">
        <v>489</v>
      </c>
      <c r="F223" s="74" t="s">
        <v>585</v>
      </c>
      <c r="G223" s="81">
        <v>1484917</v>
      </c>
      <c r="H223" s="52"/>
      <c r="I223" s="81" t="s">
        <v>521</v>
      </c>
      <c r="J223" s="52" t="s">
        <v>61</v>
      </c>
      <c r="K223" s="15" t="s">
        <v>185</v>
      </c>
      <c r="L223" s="15" t="s">
        <v>536</v>
      </c>
      <c r="M223" s="15" t="s">
        <v>537</v>
      </c>
      <c r="N223" s="15" t="s">
        <v>538</v>
      </c>
      <c r="O223" s="17" t="s">
        <v>61</v>
      </c>
      <c r="P223" s="17" t="s">
        <v>539</v>
      </c>
      <c r="Q223" s="18"/>
      <c r="R223" s="52"/>
      <c r="S223" s="15" t="s">
        <v>69</v>
      </c>
      <c r="T223" s="15"/>
      <c r="U223" s="15"/>
      <c r="V223" s="81">
        <v>210</v>
      </c>
      <c r="W223" s="15">
        <f t="shared" si="47"/>
        <v>210</v>
      </c>
      <c r="X223" s="15"/>
      <c r="Y223" s="15">
        <f>ROUNDDOWN(W223/HLOOKUP(D223,Table!$C$3:$D$4,2,0)*8,2)</f>
        <v>3.73</v>
      </c>
      <c r="Z223" s="15"/>
      <c r="AA223" s="15"/>
      <c r="AB223" s="19"/>
      <c r="AC223" s="19">
        <v>43976</v>
      </c>
      <c r="AD223" s="19">
        <v>43983</v>
      </c>
      <c r="AE223" s="19"/>
      <c r="AF223" s="19"/>
      <c r="AG223" s="19"/>
      <c r="AH223" s="31"/>
      <c r="AI223" s="31"/>
      <c r="AJ223" s="31"/>
      <c r="AK223" s="19"/>
      <c r="AL223" s="144" t="s">
        <v>61</v>
      </c>
      <c r="AM223" s="144" t="s">
        <v>61</v>
      </c>
      <c r="AN223" s="145" t="s">
        <v>540</v>
      </c>
    </row>
    <row r="224" spans="2:40" hidden="1" x14ac:dyDescent="0.25">
      <c r="B224" s="41">
        <f t="shared" si="46"/>
        <v>165</v>
      </c>
      <c r="C224" s="16">
        <v>20200525</v>
      </c>
      <c r="D224" s="15" t="s">
        <v>3</v>
      </c>
      <c r="E224" s="81" t="s">
        <v>489</v>
      </c>
      <c r="F224" s="74" t="s">
        <v>586</v>
      </c>
      <c r="G224" s="81">
        <v>1484917</v>
      </c>
      <c r="H224" s="52"/>
      <c r="I224" s="81" t="s">
        <v>522</v>
      </c>
      <c r="J224" s="52" t="s">
        <v>61</v>
      </c>
      <c r="K224" s="15" t="s">
        <v>185</v>
      </c>
      <c r="L224" s="15" t="s">
        <v>536</v>
      </c>
      <c r="M224" s="15" t="s">
        <v>537</v>
      </c>
      <c r="N224" s="15" t="s">
        <v>538</v>
      </c>
      <c r="O224" s="17" t="s">
        <v>61</v>
      </c>
      <c r="P224" s="17" t="s">
        <v>539</v>
      </c>
      <c r="Q224" s="18"/>
      <c r="R224" s="52"/>
      <c r="S224" s="15" t="s">
        <v>69</v>
      </c>
      <c r="T224" s="15"/>
      <c r="U224" s="15"/>
      <c r="V224" s="81">
        <v>154</v>
      </c>
      <c r="W224" s="15">
        <f t="shared" si="47"/>
        <v>154</v>
      </c>
      <c r="X224" s="15"/>
      <c r="Y224" s="15">
        <f>ROUNDDOWN(W224/HLOOKUP(D224,Table!$C$3:$D$4,2,0)*8,2)</f>
        <v>2.73</v>
      </c>
      <c r="Z224" s="15"/>
      <c r="AA224" s="15"/>
      <c r="AB224" s="19"/>
      <c r="AC224" s="19">
        <v>43976</v>
      </c>
      <c r="AD224" s="19">
        <v>43983</v>
      </c>
      <c r="AE224" s="19"/>
      <c r="AF224" s="19"/>
      <c r="AG224" s="19"/>
      <c r="AH224" s="31"/>
      <c r="AI224" s="31"/>
      <c r="AJ224" s="31"/>
      <c r="AK224" s="19"/>
      <c r="AL224" s="144" t="s">
        <v>61</v>
      </c>
      <c r="AM224" s="144" t="s">
        <v>61</v>
      </c>
      <c r="AN224" s="145" t="s">
        <v>540</v>
      </c>
    </row>
    <row r="225" spans="2:40" x14ac:dyDescent="0.25">
      <c r="B225" s="41">
        <f t="shared" si="46"/>
        <v>166</v>
      </c>
      <c r="C225" s="16">
        <v>20200525</v>
      </c>
      <c r="D225" s="15" t="s">
        <v>3</v>
      </c>
      <c r="E225" s="81" t="s">
        <v>489</v>
      </c>
      <c r="F225" s="74" t="s">
        <v>587</v>
      </c>
      <c r="G225" s="81">
        <v>1484917</v>
      </c>
      <c r="H225" s="52"/>
      <c r="I225" s="81" t="s">
        <v>523</v>
      </c>
      <c r="J225" s="52" t="s">
        <v>61</v>
      </c>
      <c r="K225" s="15" t="s">
        <v>185</v>
      </c>
      <c r="L225" s="15" t="s">
        <v>536</v>
      </c>
      <c r="M225" s="15" t="s">
        <v>537</v>
      </c>
      <c r="N225" s="15" t="s">
        <v>538</v>
      </c>
      <c r="O225" s="17" t="s">
        <v>61</v>
      </c>
      <c r="P225" s="17" t="s">
        <v>539</v>
      </c>
      <c r="Q225" s="18"/>
      <c r="R225" s="52"/>
      <c r="S225" s="15" t="s">
        <v>143</v>
      </c>
      <c r="T225" s="15"/>
      <c r="U225" s="15"/>
      <c r="V225" s="81">
        <v>167</v>
      </c>
      <c r="W225" s="15">
        <f t="shared" si="47"/>
        <v>167</v>
      </c>
      <c r="X225" s="15">
        <f>W225</f>
        <v>167</v>
      </c>
      <c r="Y225" s="15">
        <f>ROUNDDOWN(W225/HLOOKUP(D225,Table!$C$3:$D$4,2,0)*8,2)</f>
        <v>2.96</v>
      </c>
      <c r="Z225" s="15">
        <v>1</v>
      </c>
      <c r="AA225" s="15" t="s">
        <v>18</v>
      </c>
      <c r="AB225" s="19"/>
      <c r="AC225" s="19">
        <v>43976</v>
      </c>
      <c r="AD225" s="19">
        <v>43983</v>
      </c>
      <c r="AE225" s="19">
        <v>43977</v>
      </c>
      <c r="AF225" s="19">
        <v>43977</v>
      </c>
      <c r="AG225" s="19" t="s">
        <v>177</v>
      </c>
      <c r="AH225" s="31">
        <v>1</v>
      </c>
      <c r="AI225" s="31">
        <v>1</v>
      </c>
      <c r="AJ225" s="31">
        <v>1</v>
      </c>
      <c r="AK225" s="19" t="s">
        <v>151</v>
      </c>
      <c r="AL225" s="144" t="s">
        <v>61</v>
      </c>
      <c r="AM225" s="144" t="s">
        <v>61</v>
      </c>
      <c r="AN225" s="145" t="s">
        <v>540</v>
      </c>
    </row>
    <row r="226" spans="2:40" x14ac:dyDescent="0.25">
      <c r="B226" s="41">
        <f t="shared" si="46"/>
        <v>167</v>
      </c>
      <c r="C226" s="16">
        <v>20200525</v>
      </c>
      <c r="D226" s="15" t="s">
        <v>3</v>
      </c>
      <c r="E226" s="81" t="s">
        <v>489</v>
      </c>
      <c r="F226" s="74" t="s">
        <v>588</v>
      </c>
      <c r="G226" s="81">
        <v>1484917</v>
      </c>
      <c r="H226" s="52"/>
      <c r="I226" s="81" t="s">
        <v>524</v>
      </c>
      <c r="J226" s="52" t="s">
        <v>61</v>
      </c>
      <c r="K226" s="15" t="s">
        <v>185</v>
      </c>
      <c r="L226" s="15" t="s">
        <v>536</v>
      </c>
      <c r="M226" s="15" t="s">
        <v>537</v>
      </c>
      <c r="N226" s="15" t="s">
        <v>538</v>
      </c>
      <c r="O226" s="17" t="s">
        <v>61</v>
      </c>
      <c r="P226" s="17" t="s">
        <v>539</v>
      </c>
      <c r="Q226" s="18"/>
      <c r="R226" s="52"/>
      <c r="S226" s="15" t="s">
        <v>143</v>
      </c>
      <c r="T226" s="15"/>
      <c r="U226" s="15"/>
      <c r="V226" s="81">
        <v>147</v>
      </c>
      <c r="W226" s="15">
        <f t="shared" si="47"/>
        <v>147</v>
      </c>
      <c r="X226" s="15">
        <f>W226</f>
        <v>147</v>
      </c>
      <c r="Y226" s="15">
        <f>ROUNDDOWN(W226/HLOOKUP(D226,Table!$C$3:$D$4,2,0)*8,2)</f>
        <v>2.61</v>
      </c>
      <c r="Z226" s="15">
        <v>1.5</v>
      </c>
      <c r="AA226" s="15" t="s">
        <v>18</v>
      </c>
      <c r="AB226" s="19"/>
      <c r="AC226" s="19">
        <v>43976</v>
      </c>
      <c r="AD226" s="19">
        <v>43983</v>
      </c>
      <c r="AE226" s="19">
        <v>43978</v>
      </c>
      <c r="AF226" s="19">
        <v>43978</v>
      </c>
      <c r="AG226" s="19" t="s">
        <v>177</v>
      </c>
      <c r="AH226" s="31">
        <v>1</v>
      </c>
      <c r="AI226" s="31">
        <v>1</v>
      </c>
      <c r="AJ226" s="31">
        <v>1</v>
      </c>
      <c r="AK226" s="19" t="s">
        <v>151</v>
      </c>
      <c r="AL226" s="144" t="s">
        <v>61</v>
      </c>
      <c r="AM226" s="144" t="s">
        <v>61</v>
      </c>
      <c r="AN226" s="145" t="s">
        <v>540</v>
      </c>
    </row>
    <row r="227" spans="2:40" hidden="1" x14ac:dyDescent="0.25">
      <c r="B227" s="41">
        <f t="shared" si="46"/>
        <v>168</v>
      </c>
      <c r="C227" s="16">
        <v>20200525</v>
      </c>
      <c r="D227" s="15" t="s">
        <v>3</v>
      </c>
      <c r="E227" s="81" t="s">
        <v>489</v>
      </c>
      <c r="F227" s="74" t="s">
        <v>589</v>
      </c>
      <c r="G227" s="81">
        <v>1484917</v>
      </c>
      <c r="H227" s="52"/>
      <c r="I227" s="81" t="s">
        <v>525</v>
      </c>
      <c r="J227" s="52" t="s">
        <v>61</v>
      </c>
      <c r="K227" s="15" t="s">
        <v>185</v>
      </c>
      <c r="L227" s="15" t="s">
        <v>536</v>
      </c>
      <c r="M227" s="15" t="s">
        <v>537</v>
      </c>
      <c r="N227" s="15" t="s">
        <v>538</v>
      </c>
      <c r="O227" s="17" t="s">
        <v>61</v>
      </c>
      <c r="P227" s="17" t="s">
        <v>539</v>
      </c>
      <c r="Q227" s="18"/>
      <c r="R227" s="52"/>
      <c r="S227" s="15" t="s">
        <v>70</v>
      </c>
      <c r="T227" s="15"/>
      <c r="U227" s="15"/>
      <c r="V227" s="81">
        <v>254</v>
      </c>
      <c r="W227" s="15">
        <f t="shared" si="47"/>
        <v>254</v>
      </c>
      <c r="X227" s="15">
        <f>W227</f>
        <v>254</v>
      </c>
      <c r="Y227" s="15">
        <f>ROUNDDOWN(W227/HLOOKUP(D227,Table!$C$3:$D$4,2,0)*8,2)</f>
        <v>4.51</v>
      </c>
      <c r="Z227" s="15">
        <v>1</v>
      </c>
      <c r="AA227" s="15" t="s">
        <v>18</v>
      </c>
      <c r="AB227" s="19"/>
      <c r="AC227" s="19">
        <v>43976</v>
      </c>
      <c r="AD227" s="19">
        <v>43983</v>
      </c>
      <c r="AE227" s="19">
        <v>43978</v>
      </c>
      <c r="AF227" s="19">
        <v>43978</v>
      </c>
      <c r="AG227" s="19" t="s">
        <v>177</v>
      </c>
      <c r="AH227" s="31">
        <v>1</v>
      </c>
      <c r="AI227" s="31">
        <v>1</v>
      </c>
      <c r="AJ227" s="31">
        <v>1</v>
      </c>
      <c r="AK227" s="19" t="s">
        <v>151</v>
      </c>
      <c r="AL227" s="144" t="s">
        <v>61</v>
      </c>
      <c r="AM227" s="144" t="s">
        <v>61</v>
      </c>
      <c r="AN227" s="145" t="s">
        <v>540</v>
      </c>
    </row>
    <row r="228" spans="2:40" hidden="1" x14ac:dyDescent="0.25">
      <c r="B228" s="41">
        <f t="shared" si="46"/>
        <v>169</v>
      </c>
      <c r="C228" s="16">
        <v>20200525</v>
      </c>
      <c r="D228" s="15" t="s">
        <v>3</v>
      </c>
      <c r="E228" s="81" t="s">
        <v>489</v>
      </c>
      <c r="F228" s="74" t="s">
        <v>590</v>
      </c>
      <c r="G228" s="81">
        <v>1484917</v>
      </c>
      <c r="H228" s="52"/>
      <c r="I228" s="81" t="s">
        <v>526</v>
      </c>
      <c r="J228" s="52" t="s">
        <v>61</v>
      </c>
      <c r="K228" s="15" t="s">
        <v>185</v>
      </c>
      <c r="L228" s="15" t="s">
        <v>536</v>
      </c>
      <c r="M228" s="15" t="s">
        <v>537</v>
      </c>
      <c r="N228" s="15" t="s">
        <v>538</v>
      </c>
      <c r="O228" s="17" t="s">
        <v>61</v>
      </c>
      <c r="P228" s="17" t="s">
        <v>539</v>
      </c>
      <c r="Q228" s="18"/>
      <c r="R228" s="52"/>
      <c r="S228" s="15" t="s">
        <v>67</v>
      </c>
      <c r="T228" s="15"/>
      <c r="U228" s="15"/>
      <c r="V228" s="81">
        <v>193</v>
      </c>
      <c r="W228" s="15">
        <f t="shared" si="47"/>
        <v>193</v>
      </c>
      <c r="X228" s="15"/>
      <c r="Y228" s="15">
        <f>ROUNDDOWN(W228/HLOOKUP(D228,Table!$C$3:$D$4,2,0)*8,2)</f>
        <v>3.43</v>
      </c>
      <c r="Z228" s="15"/>
      <c r="AA228" s="15"/>
      <c r="AB228" s="19"/>
      <c r="AC228" s="19">
        <v>43976</v>
      </c>
      <c r="AD228" s="19">
        <v>43983</v>
      </c>
      <c r="AE228" s="19"/>
      <c r="AF228" s="19"/>
      <c r="AG228" s="19"/>
      <c r="AH228" s="31"/>
      <c r="AI228" s="31"/>
      <c r="AJ228" s="31"/>
      <c r="AK228" s="19"/>
      <c r="AL228" s="144" t="s">
        <v>61</v>
      </c>
      <c r="AM228" s="144" t="s">
        <v>61</v>
      </c>
      <c r="AN228" s="145" t="s">
        <v>540</v>
      </c>
    </row>
    <row r="229" spans="2:40" hidden="1" x14ac:dyDescent="0.25">
      <c r="B229" s="41">
        <f t="shared" si="46"/>
        <v>170</v>
      </c>
      <c r="C229" s="16">
        <v>20200525</v>
      </c>
      <c r="D229" s="15" t="s">
        <v>3</v>
      </c>
      <c r="E229" s="81" t="s">
        <v>489</v>
      </c>
      <c r="F229" s="74" t="s">
        <v>591</v>
      </c>
      <c r="G229" s="81">
        <v>1484917</v>
      </c>
      <c r="H229" s="52"/>
      <c r="I229" s="81" t="s">
        <v>527</v>
      </c>
      <c r="J229" s="52" t="s">
        <v>61</v>
      </c>
      <c r="K229" s="15" t="s">
        <v>185</v>
      </c>
      <c r="L229" s="15" t="s">
        <v>536</v>
      </c>
      <c r="M229" s="15" t="s">
        <v>537</v>
      </c>
      <c r="N229" s="15" t="s">
        <v>538</v>
      </c>
      <c r="O229" s="17" t="s">
        <v>61</v>
      </c>
      <c r="P229" s="17" t="s">
        <v>539</v>
      </c>
      <c r="Q229" s="18"/>
      <c r="R229" s="52"/>
      <c r="S229" s="15" t="s">
        <v>70</v>
      </c>
      <c r="T229" s="15"/>
      <c r="U229" s="15"/>
      <c r="V229" s="81">
        <v>204</v>
      </c>
      <c r="W229" s="15">
        <f t="shared" si="47"/>
        <v>204</v>
      </c>
      <c r="X229" s="15">
        <f>W229</f>
        <v>204</v>
      </c>
      <c r="Y229" s="15">
        <f>ROUNDDOWN(W229/HLOOKUP(D229,Table!$C$3:$D$4,2,0)*8,2)</f>
        <v>3.62</v>
      </c>
      <c r="Z229" s="15">
        <v>1.5</v>
      </c>
      <c r="AA229" s="15" t="s">
        <v>18</v>
      </c>
      <c r="AB229" s="19"/>
      <c r="AC229" s="19">
        <v>43976</v>
      </c>
      <c r="AD229" s="19">
        <v>43983</v>
      </c>
      <c r="AE229" s="19">
        <v>43978</v>
      </c>
      <c r="AF229" s="19">
        <v>43978</v>
      </c>
      <c r="AG229" s="19" t="s">
        <v>177</v>
      </c>
      <c r="AH229" s="31">
        <v>1</v>
      </c>
      <c r="AI229" s="31">
        <v>1</v>
      </c>
      <c r="AJ229" s="31">
        <v>1</v>
      </c>
      <c r="AK229" s="19" t="s">
        <v>151</v>
      </c>
      <c r="AL229" s="144" t="s">
        <v>61</v>
      </c>
      <c r="AM229" s="144" t="s">
        <v>61</v>
      </c>
      <c r="AN229" s="145" t="s">
        <v>540</v>
      </c>
    </row>
    <row r="230" spans="2:40" hidden="1" x14ac:dyDescent="0.25">
      <c r="B230" s="41">
        <f t="shared" si="46"/>
        <v>171</v>
      </c>
      <c r="C230" s="16">
        <v>20200525</v>
      </c>
      <c r="D230" s="15" t="s">
        <v>3</v>
      </c>
      <c r="E230" s="81" t="s">
        <v>489</v>
      </c>
      <c r="F230" s="74" t="s">
        <v>592</v>
      </c>
      <c r="G230" s="81">
        <v>1484917</v>
      </c>
      <c r="H230" s="52"/>
      <c r="I230" s="81" t="s">
        <v>528</v>
      </c>
      <c r="J230" s="52" t="s">
        <v>61</v>
      </c>
      <c r="K230" s="15" t="s">
        <v>185</v>
      </c>
      <c r="L230" s="15" t="s">
        <v>536</v>
      </c>
      <c r="M230" s="15" t="s">
        <v>537</v>
      </c>
      <c r="N230" s="15" t="s">
        <v>538</v>
      </c>
      <c r="O230" s="17" t="s">
        <v>61</v>
      </c>
      <c r="P230" s="17" t="s">
        <v>539</v>
      </c>
      <c r="Q230" s="18"/>
      <c r="R230" s="52"/>
      <c r="S230" s="15" t="s">
        <v>70</v>
      </c>
      <c r="T230" s="15"/>
      <c r="U230" s="15"/>
      <c r="V230" s="81">
        <v>194</v>
      </c>
      <c r="W230" s="15">
        <f t="shared" si="47"/>
        <v>194</v>
      </c>
      <c r="X230" s="15">
        <f>W230</f>
        <v>194</v>
      </c>
      <c r="Y230" s="15">
        <f>ROUNDDOWN(W230/HLOOKUP(D230,Table!$C$3:$D$4,2,0)*8,2)</f>
        <v>3.44</v>
      </c>
      <c r="Z230" s="15">
        <v>1.5</v>
      </c>
      <c r="AA230" s="15" t="s">
        <v>18</v>
      </c>
      <c r="AB230" s="19"/>
      <c r="AC230" s="19">
        <v>43976</v>
      </c>
      <c r="AD230" s="19">
        <v>43983</v>
      </c>
      <c r="AE230" s="19">
        <v>43978</v>
      </c>
      <c r="AF230" s="19">
        <v>43978</v>
      </c>
      <c r="AG230" s="19" t="s">
        <v>177</v>
      </c>
      <c r="AH230" s="31">
        <v>1</v>
      </c>
      <c r="AI230" s="31">
        <v>1</v>
      </c>
      <c r="AJ230" s="31">
        <v>1</v>
      </c>
      <c r="AK230" s="19" t="s">
        <v>151</v>
      </c>
      <c r="AL230" s="144" t="s">
        <v>61</v>
      </c>
      <c r="AM230" s="144" t="s">
        <v>61</v>
      </c>
      <c r="AN230" s="145" t="s">
        <v>540</v>
      </c>
    </row>
    <row r="231" spans="2:40" hidden="1" x14ac:dyDescent="0.25">
      <c r="B231" s="41">
        <f t="shared" si="46"/>
        <v>172</v>
      </c>
      <c r="C231" s="16">
        <v>20200525</v>
      </c>
      <c r="D231" s="15" t="s">
        <v>3</v>
      </c>
      <c r="E231" s="81" t="s">
        <v>489</v>
      </c>
      <c r="F231" s="74" t="s">
        <v>593</v>
      </c>
      <c r="G231" s="81">
        <v>1484917</v>
      </c>
      <c r="H231" s="52" t="s">
        <v>61</v>
      </c>
      <c r="I231" s="81" t="s">
        <v>529</v>
      </c>
      <c r="J231" s="52" t="s">
        <v>61</v>
      </c>
      <c r="K231" s="15" t="s">
        <v>185</v>
      </c>
      <c r="L231" s="15" t="s">
        <v>536</v>
      </c>
      <c r="M231" s="15" t="s">
        <v>537</v>
      </c>
      <c r="N231" s="15" t="s">
        <v>538</v>
      </c>
      <c r="O231" s="17" t="s">
        <v>61</v>
      </c>
      <c r="P231" s="17" t="s">
        <v>539</v>
      </c>
      <c r="Q231" s="18"/>
      <c r="R231" s="52" t="s">
        <v>61</v>
      </c>
      <c r="S231" s="15" t="s">
        <v>69</v>
      </c>
      <c r="T231" s="15"/>
      <c r="U231" s="15"/>
      <c r="V231" s="81">
        <v>141</v>
      </c>
      <c r="W231" s="15">
        <f t="shared" si="47"/>
        <v>141</v>
      </c>
      <c r="X231" s="15"/>
      <c r="Y231" s="15">
        <f>ROUNDDOWN(W231/HLOOKUP(D231,Table!$C$3:$D$4,2,0)*8,2)</f>
        <v>2.5</v>
      </c>
      <c r="Z231" s="15"/>
      <c r="AA231" s="15"/>
      <c r="AB231" s="19"/>
      <c r="AC231" s="19">
        <v>43976</v>
      </c>
      <c r="AD231" s="19">
        <v>43983</v>
      </c>
      <c r="AE231" s="19"/>
      <c r="AF231" s="19"/>
      <c r="AG231" s="19"/>
      <c r="AH231" s="31"/>
      <c r="AI231" s="31"/>
      <c r="AJ231" s="31"/>
      <c r="AK231" s="19"/>
      <c r="AL231" s="144" t="s">
        <v>61</v>
      </c>
      <c r="AM231" s="144" t="s">
        <v>61</v>
      </c>
      <c r="AN231" s="145" t="s">
        <v>540</v>
      </c>
    </row>
    <row r="232" spans="2:40" hidden="1" x14ac:dyDescent="0.25">
      <c r="B232" s="41">
        <f t="shared" si="46"/>
        <v>173</v>
      </c>
      <c r="C232" s="16">
        <v>20200525</v>
      </c>
      <c r="D232" s="15" t="s">
        <v>3</v>
      </c>
      <c r="E232" s="81" t="s">
        <v>489</v>
      </c>
      <c r="F232" s="74" t="s">
        <v>594</v>
      </c>
      <c r="G232" s="81">
        <v>1484917</v>
      </c>
      <c r="H232" s="52" t="s">
        <v>61</v>
      </c>
      <c r="I232" s="81" t="s">
        <v>530</v>
      </c>
      <c r="J232" s="52" t="s">
        <v>61</v>
      </c>
      <c r="K232" s="15" t="s">
        <v>185</v>
      </c>
      <c r="L232" s="15" t="s">
        <v>536</v>
      </c>
      <c r="M232" s="15" t="s">
        <v>537</v>
      </c>
      <c r="N232" s="15" t="s">
        <v>538</v>
      </c>
      <c r="O232" s="17" t="s">
        <v>61</v>
      </c>
      <c r="P232" s="17" t="s">
        <v>539</v>
      </c>
      <c r="Q232" s="18"/>
      <c r="R232" s="52" t="s">
        <v>61</v>
      </c>
      <c r="S232" s="15" t="s">
        <v>69</v>
      </c>
      <c r="T232" s="15"/>
      <c r="U232" s="15"/>
      <c r="V232" s="81">
        <v>190</v>
      </c>
      <c r="W232" s="15">
        <f t="shared" si="47"/>
        <v>190</v>
      </c>
      <c r="X232" s="15"/>
      <c r="Y232" s="15">
        <f>ROUNDDOWN(W232/HLOOKUP(D232,Table!$C$3:$D$4,2,0)*8,2)</f>
        <v>3.37</v>
      </c>
      <c r="Z232" s="15"/>
      <c r="AA232" s="15"/>
      <c r="AB232" s="19"/>
      <c r="AC232" s="19">
        <v>43976</v>
      </c>
      <c r="AD232" s="19">
        <v>43983</v>
      </c>
      <c r="AE232" s="19"/>
      <c r="AF232" s="19"/>
      <c r="AG232" s="19"/>
      <c r="AH232" s="31"/>
      <c r="AI232" s="31"/>
      <c r="AJ232" s="31"/>
      <c r="AK232" s="19"/>
      <c r="AL232" s="144" t="s">
        <v>61</v>
      </c>
      <c r="AM232" s="144" t="s">
        <v>61</v>
      </c>
      <c r="AN232" s="145" t="s">
        <v>540</v>
      </c>
    </row>
    <row r="233" spans="2:40" hidden="1" x14ac:dyDescent="0.25">
      <c r="B233" s="41">
        <f t="shared" si="46"/>
        <v>174</v>
      </c>
      <c r="C233" s="16">
        <v>20200525</v>
      </c>
      <c r="D233" s="15" t="s">
        <v>3</v>
      </c>
      <c r="E233" s="81" t="s">
        <v>489</v>
      </c>
      <c r="F233" s="74" t="s">
        <v>595</v>
      </c>
      <c r="G233" s="81">
        <v>1484917</v>
      </c>
      <c r="H233" s="52" t="s">
        <v>61</v>
      </c>
      <c r="I233" s="81" t="s">
        <v>531</v>
      </c>
      <c r="J233" s="52" t="s">
        <v>61</v>
      </c>
      <c r="K233" s="15" t="s">
        <v>185</v>
      </c>
      <c r="L233" s="15" t="s">
        <v>536</v>
      </c>
      <c r="M233" s="15" t="s">
        <v>537</v>
      </c>
      <c r="N233" s="15" t="s">
        <v>538</v>
      </c>
      <c r="O233" s="17" t="s">
        <v>61</v>
      </c>
      <c r="P233" s="17" t="s">
        <v>539</v>
      </c>
      <c r="Q233" s="18"/>
      <c r="R233" s="52" t="s">
        <v>61</v>
      </c>
      <c r="S233" s="15" t="s">
        <v>68</v>
      </c>
      <c r="T233" s="15"/>
      <c r="U233" s="15"/>
      <c r="V233" s="81">
        <v>173</v>
      </c>
      <c r="W233" s="15">
        <f t="shared" si="47"/>
        <v>173</v>
      </c>
      <c r="X233" s="15"/>
      <c r="Y233" s="15">
        <f>ROUNDDOWN(W233/HLOOKUP(D233,Table!$C$3:$D$4,2,0)*8,2)</f>
        <v>3.07</v>
      </c>
      <c r="Z233" s="15"/>
      <c r="AA233" s="15"/>
      <c r="AB233" s="19"/>
      <c r="AC233" s="19">
        <v>43976</v>
      </c>
      <c r="AD233" s="19">
        <v>43983</v>
      </c>
      <c r="AE233" s="19"/>
      <c r="AF233" s="19"/>
      <c r="AG233" s="19"/>
      <c r="AH233" s="31"/>
      <c r="AI233" s="31"/>
      <c r="AJ233" s="31"/>
      <c r="AK233" s="19"/>
      <c r="AL233" s="144" t="s">
        <v>61</v>
      </c>
      <c r="AM233" s="144" t="s">
        <v>61</v>
      </c>
      <c r="AN233" s="145" t="s">
        <v>540</v>
      </c>
    </row>
    <row r="234" spans="2:40" hidden="1" x14ac:dyDescent="0.25">
      <c r="B234" s="41">
        <f t="shared" si="46"/>
        <v>175</v>
      </c>
      <c r="C234" s="16">
        <v>20200525</v>
      </c>
      <c r="D234" s="15" t="s">
        <v>3</v>
      </c>
      <c r="E234" s="81" t="s">
        <v>489</v>
      </c>
      <c r="F234" s="74" t="s">
        <v>596</v>
      </c>
      <c r="G234" s="81">
        <v>1484917</v>
      </c>
      <c r="H234" s="52" t="s">
        <v>61</v>
      </c>
      <c r="I234" s="81" t="s">
        <v>289</v>
      </c>
      <c r="J234" s="52" t="s">
        <v>61</v>
      </c>
      <c r="K234" s="15" t="s">
        <v>185</v>
      </c>
      <c r="L234" s="15" t="s">
        <v>536</v>
      </c>
      <c r="M234" s="15" t="s">
        <v>537</v>
      </c>
      <c r="N234" s="15" t="s">
        <v>538</v>
      </c>
      <c r="O234" s="17" t="s">
        <v>61</v>
      </c>
      <c r="P234" s="17" t="s">
        <v>539</v>
      </c>
      <c r="Q234" s="18"/>
      <c r="R234" s="52" t="s">
        <v>61</v>
      </c>
      <c r="S234" s="15" t="s">
        <v>70</v>
      </c>
      <c r="T234" s="15"/>
      <c r="U234" s="15"/>
      <c r="V234" s="81">
        <v>268</v>
      </c>
      <c r="W234" s="15">
        <f t="shared" si="47"/>
        <v>268</v>
      </c>
      <c r="X234" s="15">
        <f>W234</f>
        <v>268</v>
      </c>
      <c r="Y234" s="15">
        <f>ROUNDDOWN(W234/HLOOKUP(D234,Table!$C$3:$D$4,2,0)*8,2)</f>
        <v>4.76</v>
      </c>
      <c r="Z234" s="15">
        <v>1</v>
      </c>
      <c r="AA234" s="15" t="s">
        <v>18</v>
      </c>
      <c r="AB234" s="19"/>
      <c r="AC234" s="19">
        <v>43976</v>
      </c>
      <c r="AD234" s="19">
        <v>43983</v>
      </c>
      <c r="AE234" s="19">
        <v>43978</v>
      </c>
      <c r="AF234" s="19">
        <v>43978</v>
      </c>
      <c r="AG234" s="19" t="s">
        <v>178</v>
      </c>
      <c r="AH234" s="31">
        <v>0.99</v>
      </c>
      <c r="AI234" s="31">
        <v>0.97</v>
      </c>
      <c r="AJ234" s="31">
        <v>1</v>
      </c>
      <c r="AK234" s="19" t="s">
        <v>140</v>
      </c>
      <c r="AL234" s="144" t="s">
        <v>372</v>
      </c>
      <c r="AM234" s="144" t="s">
        <v>61</v>
      </c>
      <c r="AN234" s="145" t="s">
        <v>540</v>
      </c>
    </row>
    <row r="235" spans="2:40" hidden="1" x14ac:dyDescent="0.25">
      <c r="B235" s="41">
        <f t="shared" si="46"/>
        <v>176</v>
      </c>
      <c r="C235" s="16">
        <v>20200525</v>
      </c>
      <c r="D235" s="15" t="s">
        <v>3</v>
      </c>
      <c r="E235" s="81" t="s">
        <v>489</v>
      </c>
      <c r="F235" s="74" t="s">
        <v>597</v>
      </c>
      <c r="G235" s="81">
        <v>1484917</v>
      </c>
      <c r="H235" s="52" t="s">
        <v>61</v>
      </c>
      <c r="I235" s="81" t="s">
        <v>289</v>
      </c>
      <c r="J235" s="52" t="s">
        <v>61</v>
      </c>
      <c r="K235" s="15" t="s">
        <v>185</v>
      </c>
      <c r="L235" s="15" t="s">
        <v>536</v>
      </c>
      <c r="M235" s="15" t="s">
        <v>537</v>
      </c>
      <c r="N235" s="15" t="s">
        <v>538</v>
      </c>
      <c r="O235" s="17" t="s">
        <v>61</v>
      </c>
      <c r="P235" s="17" t="s">
        <v>539</v>
      </c>
      <c r="Q235" s="18"/>
      <c r="R235" s="52" t="s">
        <v>61</v>
      </c>
      <c r="S235" s="15" t="s">
        <v>70</v>
      </c>
      <c r="T235" s="15"/>
      <c r="U235" s="15"/>
      <c r="V235" s="81">
        <v>268</v>
      </c>
      <c r="W235" s="15">
        <f t="shared" si="47"/>
        <v>268</v>
      </c>
      <c r="X235" s="15">
        <f>W235</f>
        <v>268</v>
      </c>
      <c r="Y235" s="15">
        <f>ROUNDDOWN(W235/HLOOKUP(D235,Table!$C$3:$D$4,2,0)*8,2)</f>
        <v>4.76</v>
      </c>
      <c r="Z235" s="15">
        <v>1</v>
      </c>
      <c r="AA235" s="15" t="s">
        <v>18</v>
      </c>
      <c r="AB235" s="19"/>
      <c r="AC235" s="19">
        <v>43976</v>
      </c>
      <c r="AD235" s="19">
        <v>43983</v>
      </c>
      <c r="AE235" s="19">
        <v>43978</v>
      </c>
      <c r="AF235" s="19">
        <v>43978</v>
      </c>
      <c r="AG235" s="19" t="s">
        <v>178</v>
      </c>
      <c r="AH235" s="31">
        <v>0.99</v>
      </c>
      <c r="AI235" s="31">
        <v>0.97</v>
      </c>
      <c r="AJ235" s="31">
        <v>1</v>
      </c>
      <c r="AK235" s="19" t="s">
        <v>140</v>
      </c>
      <c r="AL235" s="144" t="s">
        <v>372</v>
      </c>
      <c r="AM235" s="144" t="s">
        <v>61</v>
      </c>
      <c r="AN235" s="145" t="s">
        <v>540</v>
      </c>
    </row>
    <row r="236" spans="2:40" hidden="1" x14ac:dyDescent="0.25">
      <c r="B236" s="41">
        <f t="shared" si="46"/>
        <v>177</v>
      </c>
      <c r="C236" s="16">
        <v>20200525</v>
      </c>
      <c r="D236" s="15" t="s">
        <v>3</v>
      </c>
      <c r="E236" s="81" t="s">
        <v>489</v>
      </c>
      <c r="F236" s="74" t="s">
        <v>598</v>
      </c>
      <c r="G236" s="81">
        <v>1484917</v>
      </c>
      <c r="H236" s="52" t="s">
        <v>61</v>
      </c>
      <c r="I236" s="81" t="s">
        <v>532</v>
      </c>
      <c r="J236" s="52" t="s">
        <v>61</v>
      </c>
      <c r="K236" s="15" t="s">
        <v>185</v>
      </c>
      <c r="L236" s="15" t="s">
        <v>536</v>
      </c>
      <c r="M236" s="15" t="s">
        <v>537</v>
      </c>
      <c r="N236" s="15" t="s">
        <v>538</v>
      </c>
      <c r="O236" s="17" t="s">
        <v>61</v>
      </c>
      <c r="P236" s="17" t="s">
        <v>539</v>
      </c>
      <c r="Q236" s="18"/>
      <c r="R236" s="52" t="s">
        <v>61</v>
      </c>
      <c r="S236" s="15" t="s">
        <v>68</v>
      </c>
      <c r="T236" s="15"/>
      <c r="U236" s="15"/>
      <c r="V236" s="81">
        <v>237</v>
      </c>
      <c r="W236" s="15">
        <f t="shared" si="47"/>
        <v>237</v>
      </c>
      <c r="X236" s="15"/>
      <c r="Y236" s="15">
        <f>ROUNDDOWN(W236/HLOOKUP(D236,Table!$C$3:$D$4,2,0)*8,2)</f>
        <v>4.21</v>
      </c>
      <c r="Z236" s="15"/>
      <c r="AA236" s="15"/>
      <c r="AB236" s="19"/>
      <c r="AC236" s="19">
        <v>43976</v>
      </c>
      <c r="AD236" s="19">
        <v>43983</v>
      </c>
      <c r="AE236" s="19"/>
      <c r="AF236" s="19"/>
      <c r="AG236" s="19"/>
      <c r="AH236" s="31"/>
      <c r="AI236" s="31"/>
      <c r="AJ236" s="31"/>
      <c r="AK236" s="19"/>
      <c r="AL236" s="144" t="s">
        <v>61</v>
      </c>
      <c r="AM236" s="144" t="s">
        <v>61</v>
      </c>
      <c r="AN236" s="145" t="s">
        <v>540</v>
      </c>
    </row>
    <row r="237" spans="2:40" hidden="1" x14ac:dyDescent="0.25">
      <c r="B237" s="41">
        <f t="shared" si="46"/>
        <v>178</v>
      </c>
      <c r="C237" s="16">
        <v>20200525</v>
      </c>
      <c r="D237" s="15" t="s">
        <v>3</v>
      </c>
      <c r="E237" s="81" t="s">
        <v>489</v>
      </c>
      <c r="F237" s="74" t="s">
        <v>599</v>
      </c>
      <c r="G237" s="81">
        <v>1484917</v>
      </c>
      <c r="H237" s="52" t="s">
        <v>61</v>
      </c>
      <c r="I237" s="81" t="s">
        <v>225</v>
      </c>
      <c r="J237" s="52" t="s">
        <v>61</v>
      </c>
      <c r="K237" s="15" t="s">
        <v>185</v>
      </c>
      <c r="L237" s="15" t="s">
        <v>536</v>
      </c>
      <c r="M237" s="15" t="s">
        <v>537</v>
      </c>
      <c r="N237" s="15" t="s">
        <v>538</v>
      </c>
      <c r="O237" s="17" t="s">
        <v>61</v>
      </c>
      <c r="P237" s="17" t="s">
        <v>539</v>
      </c>
      <c r="Q237" s="18"/>
      <c r="R237" s="52" t="s">
        <v>61</v>
      </c>
      <c r="S237" s="15" t="s">
        <v>68</v>
      </c>
      <c r="T237" s="15"/>
      <c r="U237" s="15"/>
      <c r="V237" s="81">
        <v>63</v>
      </c>
      <c r="W237" s="15">
        <f t="shared" si="47"/>
        <v>63</v>
      </c>
      <c r="X237" s="15"/>
      <c r="Y237" s="15">
        <f>ROUNDDOWN(W237/HLOOKUP(D237,Table!$C$3:$D$4,2,0)*8,2)</f>
        <v>1.1200000000000001</v>
      </c>
      <c r="Z237" s="15"/>
      <c r="AA237" s="15"/>
      <c r="AB237" s="19"/>
      <c r="AC237" s="19">
        <v>43976</v>
      </c>
      <c r="AD237" s="19">
        <v>43983</v>
      </c>
      <c r="AE237" s="19"/>
      <c r="AF237" s="19"/>
      <c r="AG237" s="19"/>
      <c r="AH237" s="31"/>
      <c r="AI237" s="31"/>
      <c r="AJ237" s="31"/>
      <c r="AK237" s="19"/>
      <c r="AL237" s="144" t="s">
        <v>61</v>
      </c>
      <c r="AM237" s="144" t="s">
        <v>61</v>
      </c>
      <c r="AN237" s="145" t="s">
        <v>540</v>
      </c>
    </row>
    <row r="238" spans="2:40" hidden="1" x14ac:dyDescent="0.25">
      <c r="B238" s="41">
        <f t="shared" si="46"/>
        <v>179</v>
      </c>
      <c r="C238" s="16">
        <v>20200525</v>
      </c>
      <c r="D238" s="15" t="s">
        <v>3</v>
      </c>
      <c r="E238" s="81" t="s">
        <v>489</v>
      </c>
      <c r="F238" s="74" t="s">
        <v>600</v>
      </c>
      <c r="G238" s="81">
        <v>1484917</v>
      </c>
      <c r="H238" s="52" t="s">
        <v>61</v>
      </c>
      <c r="I238" s="81" t="s">
        <v>533</v>
      </c>
      <c r="J238" s="52" t="s">
        <v>61</v>
      </c>
      <c r="K238" s="15" t="s">
        <v>185</v>
      </c>
      <c r="L238" s="15" t="s">
        <v>536</v>
      </c>
      <c r="M238" s="15" t="s">
        <v>537</v>
      </c>
      <c r="N238" s="15" t="s">
        <v>538</v>
      </c>
      <c r="O238" s="17" t="s">
        <v>61</v>
      </c>
      <c r="P238" s="17" t="s">
        <v>539</v>
      </c>
      <c r="Q238" s="18"/>
      <c r="R238" s="52" t="s">
        <v>61</v>
      </c>
      <c r="S238" s="15" t="s">
        <v>68</v>
      </c>
      <c r="T238" s="15"/>
      <c r="U238" s="15"/>
      <c r="V238" s="81">
        <v>70</v>
      </c>
      <c r="W238" s="15">
        <f t="shared" si="47"/>
        <v>70</v>
      </c>
      <c r="X238" s="15"/>
      <c r="Y238" s="15">
        <f>ROUNDDOWN(W238/HLOOKUP(D238,Table!$C$3:$D$4,2,0)*8,2)</f>
        <v>1.24</v>
      </c>
      <c r="Z238" s="15"/>
      <c r="AA238" s="15"/>
      <c r="AB238" s="19"/>
      <c r="AC238" s="19">
        <v>43976</v>
      </c>
      <c r="AD238" s="19">
        <v>43983</v>
      </c>
      <c r="AE238" s="19"/>
      <c r="AF238" s="19"/>
      <c r="AG238" s="19"/>
      <c r="AH238" s="31"/>
      <c r="AI238" s="31"/>
      <c r="AJ238" s="31"/>
      <c r="AK238" s="19"/>
      <c r="AL238" s="144" t="s">
        <v>61</v>
      </c>
      <c r="AM238" s="144" t="s">
        <v>61</v>
      </c>
      <c r="AN238" s="145" t="s">
        <v>540</v>
      </c>
    </row>
    <row r="239" spans="2:40" x14ac:dyDescent="0.25">
      <c r="B239" s="41">
        <f t="shared" si="46"/>
        <v>180</v>
      </c>
      <c r="C239" s="16">
        <v>20200525</v>
      </c>
      <c r="D239" s="15" t="s">
        <v>3</v>
      </c>
      <c r="E239" s="81" t="s">
        <v>489</v>
      </c>
      <c r="F239" s="74" t="s">
        <v>601</v>
      </c>
      <c r="G239" s="81">
        <v>1484917</v>
      </c>
      <c r="H239" s="52" t="s">
        <v>61</v>
      </c>
      <c r="I239" s="81" t="s">
        <v>534</v>
      </c>
      <c r="J239" s="52" t="s">
        <v>61</v>
      </c>
      <c r="K239" s="15" t="s">
        <v>185</v>
      </c>
      <c r="L239" s="15" t="s">
        <v>536</v>
      </c>
      <c r="M239" s="15" t="s">
        <v>537</v>
      </c>
      <c r="N239" s="15" t="s">
        <v>538</v>
      </c>
      <c r="O239" s="17" t="s">
        <v>61</v>
      </c>
      <c r="P239" s="17" t="s">
        <v>539</v>
      </c>
      <c r="Q239" s="18"/>
      <c r="R239" s="52" t="s">
        <v>61</v>
      </c>
      <c r="S239" s="15" t="s">
        <v>143</v>
      </c>
      <c r="T239" s="15"/>
      <c r="U239" s="15"/>
      <c r="V239" s="81">
        <v>175</v>
      </c>
      <c r="W239" s="15">
        <f t="shared" si="47"/>
        <v>175</v>
      </c>
      <c r="X239" s="15">
        <f>W239</f>
        <v>175</v>
      </c>
      <c r="Y239" s="15">
        <f>ROUNDDOWN(W239/HLOOKUP(D239,Table!$C$3:$D$4,2,0)*8,2)</f>
        <v>3.11</v>
      </c>
      <c r="Z239" s="15">
        <v>2</v>
      </c>
      <c r="AA239" s="15" t="s">
        <v>18</v>
      </c>
      <c r="AB239" s="19"/>
      <c r="AC239" s="19">
        <v>43976</v>
      </c>
      <c r="AD239" s="19">
        <v>43983</v>
      </c>
      <c r="AE239" s="19">
        <v>43978</v>
      </c>
      <c r="AF239" s="19">
        <v>43978</v>
      </c>
      <c r="AG239" s="19" t="s">
        <v>177</v>
      </c>
      <c r="AH239" s="31">
        <v>1</v>
      </c>
      <c r="AI239" s="31">
        <v>1</v>
      </c>
      <c r="AJ239" s="31">
        <v>1</v>
      </c>
      <c r="AK239" s="19" t="s">
        <v>151</v>
      </c>
      <c r="AL239" s="144" t="s">
        <v>61</v>
      </c>
      <c r="AM239" s="144" t="s">
        <v>61</v>
      </c>
      <c r="AN239" s="145" t="s">
        <v>540</v>
      </c>
    </row>
    <row r="240" spans="2:40" x14ac:dyDescent="0.25">
      <c r="B240" s="41">
        <f t="shared" si="46"/>
        <v>181</v>
      </c>
      <c r="C240" s="16">
        <v>20200525</v>
      </c>
      <c r="D240" s="15" t="s">
        <v>3</v>
      </c>
      <c r="E240" s="81" t="s">
        <v>489</v>
      </c>
      <c r="F240" s="74" t="s">
        <v>602</v>
      </c>
      <c r="G240" s="81">
        <v>1484917</v>
      </c>
      <c r="H240" s="52" t="s">
        <v>61</v>
      </c>
      <c r="I240" s="81" t="s">
        <v>535</v>
      </c>
      <c r="J240" s="52" t="s">
        <v>61</v>
      </c>
      <c r="K240" s="15" t="s">
        <v>185</v>
      </c>
      <c r="L240" s="15" t="s">
        <v>536</v>
      </c>
      <c r="M240" s="15" t="s">
        <v>537</v>
      </c>
      <c r="N240" s="15" t="s">
        <v>538</v>
      </c>
      <c r="O240" s="17" t="s">
        <v>61</v>
      </c>
      <c r="P240" s="17" t="s">
        <v>539</v>
      </c>
      <c r="Q240" s="18"/>
      <c r="R240" s="52" t="s">
        <v>61</v>
      </c>
      <c r="S240" s="15" t="s">
        <v>143</v>
      </c>
      <c r="T240" s="15"/>
      <c r="U240" s="15"/>
      <c r="V240" s="81">
        <v>6</v>
      </c>
      <c r="W240" s="15">
        <f t="shared" si="47"/>
        <v>6</v>
      </c>
      <c r="X240" s="15">
        <f>W240</f>
        <v>6</v>
      </c>
      <c r="Y240" s="15">
        <f>ROUNDDOWN(W240/HLOOKUP(D240,Table!$C$3:$D$4,2,0)*8,2)</f>
        <v>0.1</v>
      </c>
      <c r="Z240" s="15">
        <v>0.1</v>
      </c>
      <c r="AA240" s="15" t="s">
        <v>18</v>
      </c>
      <c r="AB240" s="19"/>
      <c r="AC240" s="19">
        <v>43976</v>
      </c>
      <c r="AD240" s="19">
        <v>43983</v>
      </c>
      <c r="AE240" s="19">
        <v>43978</v>
      </c>
      <c r="AF240" s="19">
        <v>43978</v>
      </c>
      <c r="AG240" s="19" t="s">
        <v>177</v>
      </c>
      <c r="AH240" s="80" t="s">
        <v>61</v>
      </c>
      <c r="AI240" s="80" t="s">
        <v>61</v>
      </c>
      <c r="AJ240" s="80" t="s">
        <v>61</v>
      </c>
      <c r="AK240" s="19" t="s">
        <v>151</v>
      </c>
      <c r="AL240" s="144" t="s">
        <v>61</v>
      </c>
      <c r="AM240" s="144" t="s">
        <v>61</v>
      </c>
      <c r="AN240" s="145" t="s">
        <v>663</v>
      </c>
    </row>
    <row r="241" spans="2:40" x14ac:dyDescent="0.25">
      <c r="B241" s="41">
        <f t="shared" ref="B241:B272" si="48">B240+1</f>
        <v>182</v>
      </c>
      <c r="C241" s="16">
        <v>20200525</v>
      </c>
      <c r="D241" s="15" t="s">
        <v>3</v>
      </c>
      <c r="E241" s="15" t="s">
        <v>489</v>
      </c>
      <c r="F241" s="74" t="s">
        <v>603</v>
      </c>
      <c r="G241" s="81">
        <v>1487183</v>
      </c>
      <c r="H241" s="52" t="s">
        <v>61</v>
      </c>
      <c r="I241" s="15" t="s">
        <v>604</v>
      </c>
      <c r="J241" s="52" t="s">
        <v>61</v>
      </c>
      <c r="K241" s="15" t="s">
        <v>185</v>
      </c>
      <c r="L241" s="15" t="s">
        <v>536</v>
      </c>
      <c r="M241" s="15" t="s">
        <v>537</v>
      </c>
      <c r="N241" s="15" t="s">
        <v>538</v>
      </c>
      <c r="O241" s="17" t="s">
        <v>61</v>
      </c>
      <c r="P241" s="78" t="s">
        <v>605</v>
      </c>
      <c r="Q241" s="18"/>
      <c r="R241" s="52" t="s">
        <v>61</v>
      </c>
      <c r="S241" s="15" t="s">
        <v>143</v>
      </c>
      <c r="T241" s="15"/>
      <c r="U241" s="15"/>
      <c r="V241" s="15">
        <v>34</v>
      </c>
      <c r="W241" s="15">
        <f>34</f>
        <v>34</v>
      </c>
      <c r="X241" s="15">
        <f>34</f>
        <v>34</v>
      </c>
      <c r="Y241" s="15">
        <f>ROUNDDOWN(W241/HLOOKUP(D241,Table!$C$3:$D$4,2,0)*8,2)</f>
        <v>0.6</v>
      </c>
      <c r="Z241" s="15">
        <v>0.1</v>
      </c>
      <c r="AA241" s="15" t="s">
        <v>18</v>
      </c>
      <c r="AB241" s="19"/>
      <c r="AC241" s="19">
        <v>43976</v>
      </c>
      <c r="AD241" s="19">
        <v>43983</v>
      </c>
      <c r="AE241" s="19">
        <v>43978</v>
      </c>
      <c r="AF241" s="19">
        <v>43978</v>
      </c>
      <c r="AG241" s="19" t="s">
        <v>177</v>
      </c>
      <c r="AH241" s="80" t="s">
        <v>61</v>
      </c>
      <c r="AI241" s="80" t="s">
        <v>61</v>
      </c>
      <c r="AJ241" s="80" t="s">
        <v>61</v>
      </c>
      <c r="AK241" s="19" t="s">
        <v>151</v>
      </c>
      <c r="AL241" s="144" t="s">
        <v>61</v>
      </c>
      <c r="AM241" s="144" t="s">
        <v>61</v>
      </c>
      <c r="AN241" s="145" t="s">
        <v>663</v>
      </c>
    </row>
    <row r="242" spans="2:40" hidden="1" x14ac:dyDescent="0.25">
      <c r="B242" s="151">
        <f t="shared" si="48"/>
        <v>183</v>
      </c>
      <c r="C242" s="16">
        <v>20200526</v>
      </c>
      <c r="D242" s="15" t="s">
        <v>3</v>
      </c>
      <c r="E242" s="81" t="s">
        <v>268</v>
      </c>
      <c r="F242" s="74" t="s">
        <v>672</v>
      </c>
      <c r="G242" s="81">
        <v>1485214</v>
      </c>
      <c r="H242" s="52" t="s">
        <v>61</v>
      </c>
      <c r="I242" s="81" t="s">
        <v>155</v>
      </c>
      <c r="J242" s="52" t="s">
        <v>61</v>
      </c>
      <c r="K242" s="15" t="s">
        <v>147</v>
      </c>
      <c r="L242" s="81" t="s">
        <v>622</v>
      </c>
      <c r="M242" s="81" t="s">
        <v>301</v>
      </c>
      <c r="N242" s="81" t="s">
        <v>276</v>
      </c>
      <c r="O242" s="17" t="s">
        <v>61</v>
      </c>
      <c r="P242" s="78" t="s">
        <v>627</v>
      </c>
      <c r="Q242" s="18"/>
      <c r="R242" s="52" t="s">
        <v>61</v>
      </c>
      <c r="S242" s="15" t="s">
        <v>69</v>
      </c>
      <c r="T242" s="15"/>
      <c r="U242" s="15"/>
      <c r="V242" s="81">
        <v>101</v>
      </c>
      <c r="W242" s="85">
        <f>V242-V242+211</f>
        <v>211</v>
      </c>
      <c r="X242" s="15">
        <f t="shared" ref="X242:X247" si="49">W242</f>
        <v>211</v>
      </c>
      <c r="Y242" s="15">
        <f>ROUNDDOWN(W242/HLOOKUP(D242,Table!$C$3:$D$4,2,0)*8,2)</f>
        <v>3.75</v>
      </c>
      <c r="Z242" s="15">
        <v>3</v>
      </c>
      <c r="AA242" s="15" t="s">
        <v>18</v>
      </c>
      <c r="AB242" s="19"/>
      <c r="AC242" s="19">
        <v>43978</v>
      </c>
      <c r="AD242" s="86">
        <v>43980</v>
      </c>
      <c r="AE242" s="19">
        <v>43978</v>
      </c>
      <c r="AF242" s="19">
        <v>43978</v>
      </c>
      <c r="AG242" s="19" t="s">
        <v>178</v>
      </c>
      <c r="AH242" s="31">
        <v>0.96</v>
      </c>
      <c r="AI242" s="31">
        <v>0.91</v>
      </c>
      <c r="AJ242" s="31">
        <v>0.5</v>
      </c>
      <c r="AK242" s="19" t="s">
        <v>140</v>
      </c>
      <c r="AL242" s="131" t="s">
        <v>666</v>
      </c>
      <c r="AM242" s="15"/>
      <c r="AN242" s="15" t="s">
        <v>668</v>
      </c>
    </row>
    <row r="243" spans="2:40" hidden="1" x14ac:dyDescent="0.25">
      <c r="B243" s="151">
        <f t="shared" si="48"/>
        <v>184</v>
      </c>
      <c r="C243" s="16">
        <v>20200526</v>
      </c>
      <c r="D243" s="15" t="s">
        <v>3</v>
      </c>
      <c r="E243" s="81" t="s">
        <v>268</v>
      </c>
      <c r="F243" s="74" t="s">
        <v>673</v>
      </c>
      <c r="G243" s="81">
        <v>1485214</v>
      </c>
      <c r="H243" s="52" t="s">
        <v>61</v>
      </c>
      <c r="I243" s="81" t="s">
        <v>612</v>
      </c>
      <c r="J243" s="52" t="s">
        <v>61</v>
      </c>
      <c r="K243" s="15" t="s">
        <v>147</v>
      </c>
      <c r="L243" s="81" t="s">
        <v>622</v>
      </c>
      <c r="M243" s="81" t="s">
        <v>301</v>
      </c>
      <c r="N243" s="81" t="s">
        <v>276</v>
      </c>
      <c r="O243" s="17" t="s">
        <v>61</v>
      </c>
      <c r="P243" s="78" t="s">
        <v>627</v>
      </c>
      <c r="Q243" s="18"/>
      <c r="R243" s="52" t="s">
        <v>61</v>
      </c>
      <c r="S243" s="15" t="s">
        <v>69</v>
      </c>
      <c r="T243" s="15"/>
      <c r="U243" s="15"/>
      <c r="V243" s="81">
        <v>66</v>
      </c>
      <c r="W243" s="15">
        <f t="shared" ref="W243:W293" si="50">V243</f>
        <v>66</v>
      </c>
      <c r="X243" s="15">
        <f t="shared" si="49"/>
        <v>66</v>
      </c>
      <c r="Y243" s="15">
        <f>ROUNDDOWN(W243/HLOOKUP(D243,Table!$C$3:$D$4,2,0)*8,2)</f>
        <v>1.17</v>
      </c>
      <c r="Z243" s="15">
        <v>1</v>
      </c>
      <c r="AA243" s="15" t="s">
        <v>18</v>
      </c>
      <c r="AB243" s="19"/>
      <c r="AC243" s="19">
        <v>43978</v>
      </c>
      <c r="AD243" s="19">
        <v>43980</v>
      </c>
      <c r="AE243" s="19">
        <v>43978</v>
      </c>
      <c r="AF243" s="19">
        <v>43978</v>
      </c>
      <c r="AG243" s="19" t="s">
        <v>177</v>
      </c>
      <c r="AH243" s="31">
        <v>1</v>
      </c>
      <c r="AI243" s="31">
        <v>1</v>
      </c>
      <c r="AJ243" s="31">
        <v>1</v>
      </c>
      <c r="AK243" s="19" t="s">
        <v>151</v>
      </c>
      <c r="AL243" s="17" t="s">
        <v>61</v>
      </c>
      <c r="AM243" s="17" t="s">
        <v>61</v>
      </c>
      <c r="AN243" s="17" t="s">
        <v>61</v>
      </c>
    </row>
    <row r="244" spans="2:40" hidden="1" x14ac:dyDescent="0.25">
      <c r="B244" s="151">
        <f t="shared" si="48"/>
        <v>185</v>
      </c>
      <c r="C244" s="16">
        <v>20200526</v>
      </c>
      <c r="D244" s="15" t="s">
        <v>3</v>
      </c>
      <c r="E244" s="81" t="s">
        <v>609</v>
      </c>
      <c r="F244" s="74" t="s">
        <v>674</v>
      </c>
      <c r="G244" s="81">
        <v>1487960</v>
      </c>
      <c r="H244" s="52" t="s">
        <v>61</v>
      </c>
      <c r="I244" s="81" t="s">
        <v>160</v>
      </c>
      <c r="J244" s="52" t="s">
        <v>61</v>
      </c>
      <c r="K244" s="15" t="s">
        <v>147</v>
      </c>
      <c r="L244" s="15" t="s">
        <v>151</v>
      </c>
      <c r="M244" s="81" t="s">
        <v>625</v>
      </c>
      <c r="N244" s="81" t="s">
        <v>233</v>
      </c>
      <c r="O244" s="17" t="s">
        <v>61</v>
      </c>
      <c r="P244" s="78" t="s">
        <v>628</v>
      </c>
      <c r="Q244" s="18"/>
      <c r="R244" s="52" t="s">
        <v>61</v>
      </c>
      <c r="S244" s="15" t="s">
        <v>70</v>
      </c>
      <c r="T244" s="15"/>
      <c r="U244" s="15"/>
      <c r="V244" s="81">
        <v>88</v>
      </c>
      <c r="W244" s="85">
        <v>229</v>
      </c>
      <c r="X244" s="15">
        <f t="shared" si="49"/>
        <v>229</v>
      </c>
      <c r="Y244" s="15">
        <f>ROUNDDOWN(W244/HLOOKUP(D244,Table!$C$3:$D$4,2,0)*8,2)</f>
        <v>4.07</v>
      </c>
      <c r="Z244" s="15">
        <v>3</v>
      </c>
      <c r="AA244" s="15" t="s">
        <v>18</v>
      </c>
      <c r="AB244" s="19"/>
      <c r="AC244" s="19">
        <v>43978</v>
      </c>
      <c r="AD244" s="19">
        <v>43980</v>
      </c>
      <c r="AE244" s="19">
        <v>43979</v>
      </c>
      <c r="AF244" s="19">
        <v>43979</v>
      </c>
      <c r="AG244" s="19" t="s">
        <v>178</v>
      </c>
      <c r="AH244" s="31">
        <v>1</v>
      </c>
      <c r="AI244" s="31">
        <v>1</v>
      </c>
      <c r="AJ244" s="31">
        <v>0.93</v>
      </c>
      <c r="AK244" s="19" t="s">
        <v>140</v>
      </c>
      <c r="AL244" s="17" t="s">
        <v>733</v>
      </c>
      <c r="AM244" s="15" t="s">
        <v>61</v>
      </c>
      <c r="AN244" s="17" t="s">
        <v>764</v>
      </c>
    </row>
    <row r="245" spans="2:40" hidden="1" x14ac:dyDescent="0.25">
      <c r="B245" s="151">
        <f t="shared" si="48"/>
        <v>186</v>
      </c>
      <c r="C245" s="16">
        <v>20200526</v>
      </c>
      <c r="D245" s="15" t="s">
        <v>3</v>
      </c>
      <c r="E245" s="81" t="s">
        <v>609</v>
      </c>
      <c r="F245" s="74" t="s">
        <v>674</v>
      </c>
      <c r="G245" s="81">
        <v>1487960</v>
      </c>
      <c r="H245" s="52" t="s">
        <v>61</v>
      </c>
      <c r="I245" s="81" t="s">
        <v>154</v>
      </c>
      <c r="J245" s="52" t="s">
        <v>61</v>
      </c>
      <c r="K245" s="15" t="s">
        <v>147</v>
      </c>
      <c r="L245" s="15" t="s">
        <v>151</v>
      </c>
      <c r="M245" s="15" t="s">
        <v>625</v>
      </c>
      <c r="N245" s="81" t="s">
        <v>233</v>
      </c>
      <c r="O245" s="17" t="s">
        <v>61</v>
      </c>
      <c r="P245" s="78" t="s">
        <v>628</v>
      </c>
      <c r="Q245" s="18"/>
      <c r="R245" s="52" t="s">
        <v>61</v>
      </c>
      <c r="S245" s="15" t="s">
        <v>70</v>
      </c>
      <c r="T245" s="15"/>
      <c r="U245" s="15"/>
      <c r="V245" s="81">
        <v>42</v>
      </c>
      <c r="W245" s="85">
        <v>118</v>
      </c>
      <c r="X245" s="15">
        <f t="shared" si="49"/>
        <v>118</v>
      </c>
      <c r="Y245" s="15">
        <f>ROUNDDOWN(W245/HLOOKUP(D245,Table!$C$3:$D$4,2,0)*8,2)</f>
        <v>2.09</v>
      </c>
      <c r="Z245" s="15">
        <v>1</v>
      </c>
      <c r="AA245" s="15" t="s">
        <v>18</v>
      </c>
      <c r="AB245" s="19"/>
      <c r="AC245" s="19">
        <v>43978</v>
      </c>
      <c r="AD245" s="19">
        <v>43980</v>
      </c>
      <c r="AE245" s="19">
        <v>43979</v>
      </c>
      <c r="AF245" s="19">
        <v>43979</v>
      </c>
      <c r="AG245" s="19" t="s">
        <v>177</v>
      </c>
      <c r="AH245" s="31">
        <v>1</v>
      </c>
      <c r="AI245" s="31">
        <v>1</v>
      </c>
      <c r="AJ245" s="31">
        <v>1</v>
      </c>
      <c r="AK245" s="19" t="s">
        <v>151</v>
      </c>
      <c r="AL245" s="17" t="s">
        <v>61</v>
      </c>
      <c r="AM245" s="15" t="s">
        <v>61</v>
      </c>
      <c r="AN245" s="15" t="s">
        <v>61</v>
      </c>
    </row>
    <row r="246" spans="2:40" hidden="1" x14ac:dyDescent="0.25">
      <c r="B246" s="151">
        <f t="shared" si="48"/>
        <v>187</v>
      </c>
      <c r="C246" s="16">
        <v>20200526</v>
      </c>
      <c r="D246" s="15" t="s">
        <v>3</v>
      </c>
      <c r="E246" s="81" t="s">
        <v>609</v>
      </c>
      <c r="F246" s="74" t="s">
        <v>675</v>
      </c>
      <c r="G246" s="81">
        <v>1487866</v>
      </c>
      <c r="H246" s="52" t="s">
        <v>61</v>
      </c>
      <c r="I246" s="81" t="s">
        <v>160</v>
      </c>
      <c r="J246" s="52" t="s">
        <v>61</v>
      </c>
      <c r="K246" s="15" t="s">
        <v>147</v>
      </c>
      <c r="L246" s="15" t="s">
        <v>151</v>
      </c>
      <c r="M246" s="15" t="s">
        <v>625</v>
      </c>
      <c r="N246" s="81" t="s">
        <v>618</v>
      </c>
      <c r="O246" s="17" t="s">
        <v>61</v>
      </c>
      <c r="P246" s="78" t="s">
        <v>628</v>
      </c>
      <c r="Q246" s="18"/>
      <c r="R246" s="52" t="s">
        <v>61</v>
      </c>
      <c r="S246" s="15" t="s">
        <v>70</v>
      </c>
      <c r="T246" s="15"/>
      <c r="U246" s="15"/>
      <c r="V246" s="81">
        <v>88</v>
      </c>
      <c r="W246" s="85">
        <v>229</v>
      </c>
      <c r="X246" s="15">
        <f t="shared" si="49"/>
        <v>229</v>
      </c>
      <c r="Y246" s="15">
        <f>ROUNDDOWN(W246/HLOOKUP(D246,Table!$C$3:$D$4,2,0)*8,2)</f>
        <v>4.07</v>
      </c>
      <c r="Z246" s="15">
        <v>1</v>
      </c>
      <c r="AA246" s="15" t="s">
        <v>18</v>
      </c>
      <c r="AB246" s="19"/>
      <c r="AC246" s="19">
        <v>43978</v>
      </c>
      <c r="AD246" s="19">
        <v>43980</v>
      </c>
      <c r="AE246" s="19">
        <v>43979</v>
      </c>
      <c r="AF246" s="19">
        <v>43979</v>
      </c>
      <c r="AG246" s="19" t="s">
        <v>178</v>
      </c>
      <c r="AH246" s="31">
        <v>1</v>
      </c>
      <c r="AI246" s="31">
        <v>1</v>
      </c>
      <c r="AJ246" s="31">
        <v>0.93</v>
      </c>
      <c r="AK246" s="19" t="s">
        <v>140</v>
      </c>
      <c r="AL246" s="17" t="s">
        <v>733</v>
      </c>
      <c r="AM246" s="15" t="s">
        <v>61</v>
      </c>
      <c r="AN246" s="17" t="s">
        <v>764</v>
      </c>
    </row>
    <row r="247" spans="2:40" hidden="1" x14ac:dyDescent="0.25">
      <c r="B247" s="151">
        <f t="shared" si="48"/>
        <v>188</v>
      </c>
      <c r="C247" s="16">
        <v>20200526</v>
      </c>
      <c r="D247" s="15" t="s">
        <v>3</v>
      </c>
      <c r="E247" s="81" t="s">
        <v>609</v>
      </c>
      <c r="F247" s="161" t="s">
        <v>675</v>
      </c>
      <c r="G247" s="81">
        <v>1487866</v>
      </c>
      <c r="H247" s="52" t="s">
        <v>61</v>
      </c>
      <c r="I247" s="81" t="s">
        <v>154</v>
      </c>
      <c r="J247" s="52" t="s">
        <v>61</v>
      </c>
      <c r="K247" s="15" t="s">
        <v>147</v>
      </c>
      <c r="L247" s="15" t="s">
        <v>151</v>
      </c>
      <c r="M247" s="15" t="s">
        <v>625</v>
      </c>
      <c r="N247" s="81" t="s">
        <v>618</v>
      </c>
      <c r="O247" s="17" t="s">
        <v>61</v>
      </c>
      <c r="P247" s="78" t="s">
        <v>628</v>
      </c>
      <c r="Q247" s="18"/>
      <c r="R247" s="52" t="s">
        <v>61</v>
      </c>
      <c r="S247" s="15" t="s">
        <v>70</v>
      </c>
      <c r="T247" s="15"/>
      <c r="U247" s="15"/>
      <c r="V247" s="81">
        <v>42</v>
      </c>
      <c r="W247" s="85">
        <v>118</v>
      </c>
      <c r="X247" s="15">
        <f t="shared" si="49"/>
        <v>118</v>
      </c>
      <c r="Y247" s="15">
        <f>ROUNDDOWN(W247/HLOOKUP(D247,Table!$C$3:$D$4,2,0)*8,2)</f>
        <v>2.09</v>
      </c>
      <c r="Z247" s="15">
        <v>1</v>
      </c>
      <c r="AA247" s="15" t="s">
        <v>18</v>
      </c>
      <c r="AB247" s="19"/>
      <c r="AC247" s="19">
        <v>43978</v>
      </c>
      <c r="AD247" s="19">
        <v>43980</v>
      </c>
      <c r="AE247" s="19">
        <v>43979</v>
      </c>
      <c r="AF247" s="19">
        <v>43979</v>
      </c>
      <c r="AG247" s="19" t="s">
        <v>177</v>
      </c>
      <c r="AH247" s="31">
        <v>1</v>
      </c>
      <c r="AI247" s="31">
        <v>1</v>
      </c>
      <c r="AJ247" s="31">
        <v>1</v>
      </c>
      <c r="AK247" s="19" t="s">
        <v>151</v>
      </c>
      <c r="AL247" s="17" t="s">
        <v>61</v>
      </c>
      <c r="AM247" s="15" t="s">
        <v>61</v>
      </c>
      <c r="AN247" s="15" t="s">
        <v>61</v>
      </c>
    </row>
    <row r="248" spans="2:40" hidden="1" x14ac:dyDescent="0.25">
      <c r="B248" s="151">
        <f t="shared" si="48"/>
        <v>189</v>
      </c>
      <c r="C248" s="16">
        <v>20200526</v>
      </c>
      <c r="D248" s="15" t="s">
        <v>3</v>
      </c>
      <c r="E248" s="81" t="s">
        <v>450</v>
      </c>
      <c r="F248" s="74" t="s">
        <v>665</v>
      </c>
      <c r="G248" s="81">
        <v>1487804</v>
      </c>
      <c r="H248" s="52" t="s">
        <v>61</v>
      </c>
      <c r="I248" s="81" t="s">
        <v>230</v>
      </c>
      <c r="J248" s="52" t="s">
        <v>61</v>
      </c>
      <c r="K248" s="15" t="s">
        <v>147</v>
      </c>
      <c r="L248" s="81" t="s">
        <v>461</v>
      </c>
      <c r="M248" s="81" t="s">
        <v>442</v>
      </c>
      <c r="N248" s="81" t="s">
        <v>619</v>
      </c>
      <c r="O248" s="17" t="s">
        <v>61</v>
      </c>
      <c r="P248" s="78" t="s">
        <v>458</v>
      </c>
      <c r="Q248" s="18"/>
      <c r="R248" s="52" t="s">
        <v>61</v>
      </c>
      <c r="S248" s="15" t="s">
        <v>67</v>
      </c>
      <c r="T248" s="15"/>
      <c r="U248" s="15"/>
      <c r="V248" s="81">
        <v>128</v>
      </c>
      <c r="W248" s="15">
        <f t="shared" si="50"/>
        <v>128</v>
      </c>
      <c r="X248" s="15">
        <f t="shared" ref="X248:X255" si="51">W248</f>
        <v>128</v>
      </c>
      <c r="Y248" s="15">
        <f>ROUNDDOWN(W248/HLOOKUP(D248,Table!$C$3:$D$4,2,0)*8,2)</f>
        <v>2.27</v>
      </c>
      <c r="Z248" s="15">
        <v>1</v>
      </c>
      <c r="AA248" s="15" t="s">
        <v>21</v>
      </c>
      <c r="AB248" s="19">
        <v>43978</v>
      </c>
      <c r="AC248" s="19">
        <v>43978</v>
      </c>
      <c r="AD248" s="102">
        <v>43978</v>
      </c>
      <c r="AE248" s="19">
        <v>43978</v>
      </c>
      <c r="AF248" s="19">
        <v>43978</v>
      </c>
      <c r="AG248" s="19" t="s">
        <v>177</v>
      </c>
      <c r="AH248" s="31">
        <v>1</v>
      </c>
      <c r="AI248" s="31">
        <v>1</v>
      </c>
      <c r="AJ248" s="31">
        <v>1</v>
      </c>
      <c r="AK248" s="19" t="s">
        <v>151</v>
      </c>
      <c r="AL248" s="144" t="s">
        <v>61</v>
      </c>
      <c r="AM248" s="144" t="s">
        <v>61</v>
      </c>
      <c r="AN248" s="144" t="s">
        <v>61</v>
      </c>
    </row>
    <row r="249" spans="2:40" hidden="1" x14ac:dyDescent="0.25">
      <c r="B249" s="151">
        <f t="shared" si="48"/>
        <v>190</v>
      </c>
      <c r="C249" s="16">
        <v>20200526</v>
      </c>
      <c r="D249" s="15" t="s">
        <v>3</v>
      </c>
      <c r="E249" s="81" t="s">
        <v>450</v>
      </c>
      <c r="F249" s="74" t="s">
        <v>630</v>
      </c>
      <c r="G249" s="81">
        <v>1487804</v>
      </c>
      <c r="H249" s="52" t="s">
        <v>61</v>
      </c>
      <c r="I249" s="81" t="s">
        <v>202</v>
      </c>
      <c r="J249" s="52" t="s">
        <v>61</v>
      </c>
      <c r="K249" s="15" t="s">
        <v>147</v>
      </c>
      <c r="L249" s="81" t="s">
        <v>461</v>
      </c>
      <c r="M249" s="81" t="s">
        <v>442</v>
      </c>
      <c r="N249" s="81" t="s">
        <v>619</v>
      </c>
      <c r="O249" s="17" t="s">
        <v>61</v>
      </c>
      <c r="P249" s="78" t="s">
        <v>458</v>
      </c>
      <c r="Q249" s="18"/>
      <c r="R249" s="52" t="s">
        <v>61</v>
      </c>
      <c r="S249" s="15" t="s">
        <v>67</v>
      </c>
      <c r="T249" s="15"/>
      <c r="U249" s="15"/>
      <c r="V249" s="81">
        <v>261</v>
      </c>
      <c r="W249" s="15">
        <f t="shared" si="50"/>
        <v>261</v>
      </c>
      <c r="X249" s="15">
        <f t="shared" si="51"/>
        <v>261</v>
      </c>
      <c r="Y249" s="15">
        <f>ROUNDDOWN(W249/HLOOKUP(D249,Table!$C$3:$D$4,2,0)*8,2)</f>
        <v>4.6399999999999997</v>
      </c>
      <c r="Z249" s="15">
        <v>2</v>
      </c>
      <c r="AA249" s="15" t="s">
        <v>21</v>
      </c>
      <c r="AB249" s="19">
        <v>43978</v>
      </c>
      <c r="AC249" s="19">
        <v>43978</v>
      </c>
      <c r="AD249" s="102">
        <v>43978</v>
      </c>
      <c r="AE249" s="19">
        <v>43978</v>
      </c>
      <c r="AF249" s="19">
        <v>43978</v>
      </c>
      <c r="AG249" s="19" t="s">
        <v>177</v>
      </c>
      <c r="AH249" s="31">
        <v>1</v>
      </c>
      <c r="AI249" s="31">
        <v>1</v>
      </c>
      <c r="AJ249" s="31">
        <v>1</v>
      </c>
      <c r="AK249" s="19" t="s">
        <v>151</v>
      </c>
      <c r="AL249" s="144" t="s">
        <v>61</v>
      </c>
      <c r="AM249" s="144" t="s">
        <v>61</v>
      </c>
      <c r="AN249" s="144" t="s">
        <v>61</v>
      </c>
    </row>
    <row r="250" spans="2:40" hidden="1" x14ac:dyDescent="0.25">
      <c r="B250" s="151">
        <f t="shared" si="48"/>
        <v>191</v>
      </c>
      <c r="C250" s="16">
        <v>20200526</v>
      </c>
      <c r="D250" s="15" t="s">
        <v>3</v>
      </c>
      <c r="E250" s="81" t="s">
        <v>450</v>
      </c>
      <c r="F250" s="74" t="s">
        <v>667</v>
      </c>
      <c r="G250" s="81">
        <v>1487804</v>
      </c>
      <c r="H250" s="52" t="s">
        <v>61</v>
      </c>
      <c r="I250" s="81" t="s">
        <v>613</v>
      </c>
      <c r="J250" s="52" t="s">
        <v>61</v>
      </c>
      <c r="K250" s="15" t="s">
        <v>147</v>
      </c>
      <c r="L250" s="81" t="s">
        <v>461</v>
      </c>
      <c r="M250" s="81" t="s">
        <v>442</v>
      </c>
      <c r="N250" s="81" t="s">
        <v>619</v>
      </c>
      <c r="O250" s="17" t="s">
        <v>61</v>
      </c>
      <c r="P250" s="78" t="s">
        <v>458</v>
      </c>
      <c r="Q250" s="18"/>
      <c r="R250" s="52" t="s">
        <v>61</v>
      </c>
      <c r="S250" s="15" t="s">
        <v>67</v>
      </c>
      <c r="T250" s="15"/>
      <c r="U250" s="15"/>
      <c r="V250" s="81">
        <v>45</v>
      </c>
      <c r="W250" s="15">
        <f t="shared" si="50"/>
        <v>45</v>
      </c>
      <c r="X250" s="15">
        <f t="shared" si="51"/>
        <v>45</v>
      </c>
      <c r="Y250" s="15">
        <f>ROUNDDOWN(W250/HLOOKUP(D250,Table!$C$3:$D$4,2,0)*8,2)</f>
        <v>0.8</v>
      </c>
      <c r="Z250" s="15">
        <v>0.5</v>
      </c>
      <c r="AA250" s="15" t="s">
        <v>21</v>
      </c>
      <c r="AB250" s="19">
        <v>43978</v>
      </c>
      <c r="AC250" s="19">
        <v>43978</v>
      </c>
      <c r="AD250" s="102">
        <v>43978</v>
      </c>
      <c r="AE250" s="19">
        <v>43978</v>
      </c>
      <c r="AF250" s="19">
        <v>43978</v>
      </c>
      <c r="AG250" s="19" t="s">
        <v>177</v>
      </c>
      <c r="AH250" s="31">
        <v>1</v>
      </c>
      <c r="AI250" s="31">
        <v>1</v>
      </c>
      <c r="AJ250" s="31">
        <v>1</v>
      </c>
      <c r="AK250" s="19" t="s">
        <v>151</v>
      </c>
      <c r="AL250" s="144" t="s">
        <v>61</v>
      </c>
      <c r="AM250" s="144" t="s">
        <v>61</v>
      </c>
      <c r="AN250" s="144" t="s">
        <v>61</v>
      </c>
    </row>
    <row r="251" spans="2:40" hidden="1" x14ac:dyDescent="0.25">
      <c r="B251" s="151">
        <f t="shared" si="48"/>
        <v>192</v>
      </c>
      <c r="C251" s="16">
        <v>20200526</v>
      </c>
      <c r="D251" s="15" t="s">
        <v>3</v>
      </c>
      <c r="E251" s="81" t="s">
        <v>610</v>
      </c>
      <c r="F251" s="74" t="s">
        <v>676</v>
      </c>
      <c r="G251" s="81">
        <v>1475660</v>
      </c>
      <c r="H251" s="52" t="s">
        <v>61</v>
      </c>
      <c r="I251" s="81" t="s">
        <v>614</v>
      </c>
      <c r="J251" s="52" t="s">
        <v>61</v>
      </c>
      <c r="K251" s="15" t="s">
        <v>147</v>
      </c>
      <c r="L251" s="81" t="s">
        <v>623</v>
      </c>
      <c r="M251" s="81" t="s">
        <v>625</v>
      </c>
      <c r="N251" s="81" t="s">
        <v>620</v>
      </c>
      <c r="O251" s="17" t="s">
        <v>61</v>
      </c>
      <c r="P251" s="78" t="s">
        <v>629</v>
      </c>
      <c r="Q251" s="18"/>
      <c r="R251" s="52" t="s">
        <v>61</v>
      </c>
      <c r="S251" s="15" t="s">
        <v>68</v>
      </c>
      <c r="T251" s="15"/>
      <c r="U251" s="15"/>
      <c r="V251" s="81">
        <v>355</v>
      </c>
      <c r="W251" s="15">
        <f t="shared" si="50"/>
        <v>355</v>
      </c>
      <c r="X251" s="15">
        <f t="shared" si="51"/>
        <v>355</v>
      </c>
      <c r="Y251" s="15">
        <f>ROUNDDOWN(W251/HLOOKUP(D251,Table!$C$3:$D$4,2,0)*8,2)</f>
        <v>6.31</v>
      </c>
      <c r="Z251" s="15">
        <f>Y251</f>
        <v>6.31</v>
      </c>
      <c r="AA251" s="15" t="s">
        <v>21</v>
      </c>
      <c r="AB251" s="19">
        <v>43978</v>
      </c>
      <c r="AC251" s="19">
        <v>43978</v>
      </c>
      <c r="AD251" s="102">
        <v>43978</v>
      </c>
      <c r="AE251" s="19">
        <v>43978</v>
      </c>
      <c r="AF251" s="19">
        <v>43978</v>
      </c>
      <c r="AG251" s="19" t="s">
        <v>178</v>
      </c>
      <c r="AH251" s="31">
        <v>1</v>
      </c>
      <c r="AI251" s="31">
        <v>1</v>
      </c>
      <c r="AJ251" s="31">
        <v>0.75</v>
      </c>
      <c r="AK251" s="19" t="s">
        <v>140</v>
      </c>
      <c r="AL251" s="144" t="s">
        <v>678</v>
      </c>
      <c r="AM251" s="144" t="s">
        <v>61</v>
      </c>
      <c r="AN251" s="144" t="s">
        <v>719</v>
      </c>
    </row>
    <row r="252" spans="2:40" hidden="1" x14ac:dyDescent="0.25">
      <c r="B252" s="151">
        <f t="shared" si="48"/>
        <v>193</v>
      </c>
      <c r="C252" s="16">
        <v>20200526</v>
      </c>
      <c r="D252" s="15" t="s">
        <v>3</v>
      </c>
      <c r="E252" s="81" t="s">
        <v>610</v>
      </c>
      <c r="F252" s="74" t="s">
        <v>677</v>
      </c>
      <c r="G252" s="81">
        <v>1475660</v>
      </c>
      <c r="H252" s="52" t="s">
        <v>61</v>
      </c>
      <c r="I252" s="81" t="s">
        <v>615</v>
      </c>
      <c r="J252" s="52" t="s">
        <v>61</v>
      </c>
      <c r="K252" s="15" t="s">
        <v>147</v>
      </c>
      <c r="L252" s="81" t="s">
        <v>623</v>
      </c>
      <c r="M252" s="81" t="s">
        <v>625</v>
      </c>
      <c r="N252" s="81" t="s">
        <v>620</v>
      </c>
      <c r="O252" s="17" t="s">
        <v>61</v>
      </c>
      <c r="P252" s="78" t="s">
        <v>629</v>
      </c>
      <c r="Q252" s="18"/>
      <c r="R252" s="52" t="s">
        <v>61</v>
      </c>
      <c r="S252" s="15" t="s">
        <v>68</v>
      </c>
      <c r="T252" s="15"/>
      <c r="U252" s="15"/>
      <c r="V252" s="81">
        <v>221</v>
      </c>
      <c r="W252" s="15">
        <f t="shared" si="50"/>
        <v>221</v>
      </c>
      <c r="X252" s="15">
        <f t="shared" si="51"/>
        <v>221</v>
      </c>
      <c r="Y252" s="15">
        <f>ROUNDDOWN(W252/HLOOKUP(D252,Table!$C$3:$D$4,2,0)*8,2)</f>
        <v>3.92</v>
      </c>
      <c r="Z252" s="15">
        <f>Y252</f>
        <v>3.92</v>
      </c>
      <c r="AA252" s="15" t="s">
        <v>21</v>
      </c>
      <c r="AB252" s="19">
        <v>43978</v>
      </c>
      <c r="AC252" s="19">
        <v>43978</v>
      </c>
      <c r="AD252" s="102">
        <v>43978</v>
      </c>
      <c r="AE252" s="19">
        <v>43978</v>
      </c>
      <c r="AF252" s="19">
        <v>43978</v>
      </c>
      <c r="AG252" s="19" t="s">
        <v>177</v>
      </c>
      <c r="AH252" s="31">
        <v>1</v>
      </c>
      <c r="AI252" s="31">
        <v>1</v>
      </c>
      <c r="AJ252" s="31">
        <v>1</v>
      </c>
      <c r="AK252" s="19" t="s">
        <v>151</v>
      </c>
      <c r="AL252" s="144" t="s">
        <v>61</v>
      </c>
      <c r="AM252" s="144" t="s">
        <v>61</v>
      </c>
      <c r="AN252" s="144" t="s">
        <v>61</v>
      </c>
    </row>
    <row r="253" spans="2:40" hidden="1" x14ac:dyDescent="0.25">
      <c r="B253" s="151">
        <f t="shared" si="48"/>
        <v>194</v>
      </c>
      <c r="C253" s="16">
        <v>20200526</v>
      </c>
      <c r="D253" s="15" t="s">
        <v>3</v>
      </c>
      <c r="E253" s="81" t="s">
        <v>611</v>
      </c>
      <c r="F253" s="74" t="s">
        <v>669</v>
      </c>
      <c r="G253" s="81">
        <v>1474186</v>
      </c>
      <c r="H253" s="52" t="s">
        <v>61</v>
      </c>
      <c r="I253" s="81" t="s">
        <v>616</v>
      </c>
      <c r="J253" s="52" t="s">
        <v>61</v>
      </c>
      <c r="K253" s="15" t="s">
        <v>147</v>
      </c>
      <c r="L253" s="81" t="s">
        <v>624</v>
      </c>
      <c r="M253" s="81" t="s">
        <v>626</v>
      </c>
      <c r="N253" s="81" t="s">
        <v>437</v>
      </c>
      <c r="O253" s="17" t="s">
        <v>61</v>
      </c>
      <c r="P253" s="78" t="s">
        <v>210</v>
      </c>
      <c r="Q253" s="18"/>
      <c r="R253" s="52" t="s">
        <v>61</v>
      </c>
      <c r="S253" s="15" t="s">
        <v>67</v>
      </c>
      <c r="T253" s="15"/>
      <c r="U253" s="15"/>
      <c r="V253" s="81">
        <v>46</v>
      </c>
      <c r="W253" s="15">
        <f t="shared" si="50"/>
        <v>46</v>
      </c>
      <c r="X253" s="15">
        <f t="shared" si="51"/>
        <v>46</v>
      </c>
      <c r="Y253" s="15">
        <f>ROUNDDOWN(W253/HLOOKUP(D253,Table!$C$3:$D$4,2,0)*8,2)</f>
        <v>0.81</v>
      </c>
      <c r="Z253" s="15">
        <v>0.5</v>
      </c>
      <c r="AA253" s="15" t="s">
        <v>21</v>
      </c>
      <c r="AB253" s="19">
        <v>43978</v>
      </c>
      <c r="AC253" s="19">
        <v>43978</v>
      </c>
      <c r="AD253" s="102">
        <v>43978</v>
      </c>
      <c r="AE253" s="19">
        <v>43978</v>
      </c>
      <c r="AF253" s="19">
        <v>43978</v>
      </c>
      <c r="AG253" s="19" t="s">
        <v>177</v>
      </c>
      <c r="AH253" s="31">
        <v>1</v>
      </c>
      <c r="AI253" s="31">
        <v>1</v>
      </c>
      <c r="AJ253" s="31">
        <v>1</v>
      </c>
      <c r="AK253" s="19" t="s">
        <v>151</v>
      </c>
      <c r="AL253" s="144" t="s">
        <v>61</v>
      </c>
      <c r="AM253" s="144" t="s">
        <v>61</v>
      </c>
      <c r="AN253" s="144" t="s">
        <v>61</v>
      </c>
    </row>
    <row r="254" spans="2:40" hidden="1" x14ac:dyDescent="0.25">
      <c r="B254" s="151">
        <f t="shared" si="48"/>
        <v>195</v>
      </c>
      <c r="C254" s="16">
        <v>20200526</v>
      </c>
      <c r="D254" s="15" t="s">
        <v>3</v>
      </c>
      <c r="E254" s="81" t="s">
        <v>611</v>
      </c>
      <c r="F254" s="74" t="s">
        <v>670</v>
      </c>
      <c r="G254" s="81">
        <v>1474186</v>
      </c>
      <c r="H254" s="52" t="s">
        <v>61</v>
      </c>
      <c r="I254" s="81" t="s">
        <v>202</v>
      </c>
      <c r="J254" s="52" t="s">
        <v>61</v>
      </c>
      <c r="K254" s="15" t="s">
        <v>147</v>
      </c>
      <c r="L254" s="81" t="s">
        <v>624</v>
      </c>
      <c r="M254" s="81" t="s">
        <v>626</v>
      </c>
      <c r="N254" s="81" t="s">
        <v>437</v>
      </c>
      <c r="O254" s="17" t="s">
        <v>61</v>
      </c>
      <c r="P254" s="78" t="s">
        <v>210</v>
      </c>
      <c r="Q254" s="18"/>
      <c r="R254" s="52" t="s">
        <v>61</v>
      </c>
      <c r="S254" s="15" t="s">
        <v>67</v>
      </c>
      <c r="T254" s="15"/>
      <c r="U254" s="15"/>
      <c r="V254" s="81">
        <v>261</v>
      </c>
      <c r="W254" s="15">
        <f t="shared" si="50"/>
        <v>261</v>
      </c>
      <c r="X254" s="15">
        <f t="shared" si="51"/>
        <v>261</v>
      </c>
      <c r="Y254" s="15">
        <f>ROUNDDOWN(W254/HLOOKUP(D254,Table!$C$3:$D$4,2,0)*8,2)</f>
        <v>4.6399999999999997</v>
      </c>
      <c r="Z254" s="15">
        <v>3</v>
      </c>
      <c r="AA254" s="15" t="s">
        <v>21</v>
      </c>
      <c r="AB254" s="19">
        <v>43978</v>
      </c>
      <c r="AC254" s="19">
        <v>43978</v>
      </c>
      <c r="AD254" s="102">
        <v>43978</v>
      </c>
      <c r="AE254" s="19">
        <v>43978</v>
      </c>
      <c r="AF254" s="19">
        <v>43978</v>
      </c>
      <c r="AG254" s="19" t="s">
        <v>177</v>
      </c>
      <c r="AH254" s="31">
        <v>1</v>
      </c>
      <c r="AI254" s="31">
        <v>1</v>
      </c>
      <c r="AJ254" s="31">
        <v>1</v>
      </c>
      <c r="AK254" s="19" t="s">
        <v>151</v>
      </c>
      <c r="AL254" s="144" t="s">
        <v>61</v>
      </c>
      <c r="AM254" s="144" t="s">
        <v>61</v>
      </c>
      <c r="AN254" s="144" t="s">
        <v>61</v>
      </c>
    </row>
    <row r="255" spans="2:40" hidden="1" x14ac:dyDescent="0.25">
      <c r="B255" s="151">
        <f t="shared" si="48"/>
        <v>196</v>
      </c>
      <c r="C255" s="16">
        <v>20200526</v>
      </c>
      <c r="D255" s="15" t="s">
        <v>2</v>
      </c>
      <c r="E255" s="81" t="s">
        <v>422</v>
      </c>
      <c r="F255" s="17" t="s">
        <v>61</v>
      </c>
      <c r="G255" s="81">
        <v>1473950</v>
      </c>
      <c r="H255" s="52" t="s">
        <v>61</v>
      </c>
      <c r="I255" s="81" t="s">
        <v>617</v>
      </c>
      <c r="J255" s="52" t="s">
        <v>61</v>
      </c>
      <c r="K255" s="15" t="s">
        <v>147</v>
      </c>
      <c r="L255" s="15" t="s">
        <v>151</v>
      </c>
      <c r="M255" s="81" t="s">
        <v>443</v>
      </c>
      <c r="N255" s="81" t="s">
        <v>621</v>
      </c>
      <c r="O255" s="17">
        <v>1.2</v>
      </c>
      <c r="P255" s="78" t="s">
        <v>311</v>
      </c>
      <c r="Q255" s="18"/>
      <c r="R255" s="52" t="s">
        <v>61</v>
      </c>
      <c r="S255" s="15" t="s">
        <v>70</v>
      </c>
      <c r="T255" s="15"/>
      <c r="U255" s="15"/>
      <c r="V255" s="81">
        <v>28</v>
      </c>
      <c r="W255" s="15">
        <f t="shared" si="50"/>
        <v>28</v>
      </c>
      <c r="X255" s="15">
        <f t="shared" si="51"/>
        <v>28</v>
      </c>
      <c r="Y255" s="15">
        <f>ROUNDDOWN(W255/HLOOKUP(D255,Table!$C$3:$D$4,2,0)*8,2)</f>
        <v>1.72</v>
      </c>
      <c r="Z255" s="15">
        <v>1</v>
      </c>
      <c r="AA255" s="15" t="s">
        <v>18</v>
      </c>
      <c r="AB255" s="19"/>
      <c r="AC255" s="19">
        <v>43978</v>
      </c>
      <c r="AD255" s="19">
        <v>43979</v>
      </c>
      <c r="AE255" s="19">
        <v>43978</v>
      </c>
      <c r="AF255" s="19">
        <v>43978</v>
      </c>
      <c r="AG255" s="19" t="s">
        <v>177</v>
      </c>
      <c r="AH255" s="31">
        <v>1</v>
      </c>
      <c r="AI255" s="31">
        <v>1</v>
      </c>
      <c r="AJ255" s="31">
        <v>1</v>
      </c>
      <c r="AK255" s="19" t="s">
        <v>151</v>
      </c>
      <c r="AL255" s="144" t="s">
        <v>61</v>
      </c>
      <c r="AM255" s="144" t="s">
        <v>61</v>
      </c>
      <c r="AN255" s="144" t="s">
        <v>61</v>
      </c>
    </row>
    <row r="256" spans="2:40" x14ac:dyDescent="0.25">
      <c r="B256" s="158">
        <f t="shared" si="48"/>
        <v>197</v>
      </c>
      <c r="C256" s="16">
        <v>20200526</v>
      </c>
      <c r="D256" s="15" t="s">
        <v>3</v>
      </c>
      <c r="E256" s="15" t="s">
        <v>489</v>
      </c>
      <c r="F256" s="74" t="s">
        <v>683</v>
      </c>
      <c r="G256" s="17">
        <v>1484917</v>
      </c>
      <c r="H256" s="52" t="s">
        <v>61</v>
      </c>
      <c r="I256" s="15" t="s">
        <v>633</v>
      </c>
      <c r="J256" s="52" t="s">
        <v>61</v>
      </c>
      <c r="K256" s="15" t="s">
        <v>147</v>
      </c>
      <c r="L256" s="15" t="s">
        <v>151</v>
      </c>
      <c r="M256" s="15" t="s">
        <v>537</v>
      </c>
      <c r="N256" s="15" t="s">
        <v>538</v>
      </c>
      <c r="O256" s="17" t="s">
        <v>61</v>
      </c>
      <c r="P256" s="17" t="s">
        <v>539</v>
      </c>
      <c r="Q256" s="18"/>
      <c r="R256" s="52"/>
      <c r="S256" s="15" t="s">
        <v>143</v>
      </c>
      <c r="T256" s="15"/>
      <c r="U256" s="15"/>
      <c r="V256" s="15">
        <v>51</v>
      </c>
      <c r="W256" s="15">
        <f t="shared" si="50"/>
        <v>51</v>
      </c>
      <c r="X256" s="15">
        <f t="shared" ref="X256:X266" si="52">W256</f>
        <v>51</v>
      </c>
      <c r="Y256" s="15">
        <f>ROUNDDOWN(W256/HLOOKUP(D256,Table!$C$3:$D$4,2,0)*8,2)</f>
        <v>0.9</v>
      </c>
      <c r="Z256" s="15">
        <v>0.1</v>
      </c>
      <c r="AA256" s="15" t="s">
        <v>18</v>
      </c>
      <c r="AB256" s="19"/>
      <c r="AC256" s="19">
        <v>43978</v>
      </c>
      <c r="AD256" s="19">
        <v>43984</v>
      </c>
      <c r="AE256" s="19">
        <v>43978</v>
      </c>
      <c r="AF256" s="19">
        <v>43978</v>
      </c>
      <c r="AG256" s="19" t="s">
        <v>177</v>
      </c>
      <c r="AH256" s="31">
        <v>1</v>
      </c>
      <c r="AI256" s="31">
        <v>1</v>
      </c>
      <c r="AJ256" s="31">
        <v>1</v>
      </c>
      <c r="AK256" s="19" t="s">
        <v>151</v>
      </c>
      <c r="AL256" s="144" t="s">
        <v>61</v>
      </c>
      <c r="AM256" s="144" t="s">
        <v>61</v>
      </c>
      <c r="AN256" s="144" t="s">
        <v>61</v>
      </c>
    </row>
    <row r="257" spans="2:40" x14ac:dyDescent="0.25">
      <c r="B257" s="158">
        <f t="shared" si="48"/>
        <v>198</v>
      </c>
      <c r="C257" s="16">
        <v>20200526</v>
      </c>
      <c r="D257" s="15" t="s">
        <v>3</v>
      </c>
      <c r="E257" s="15" t="s">
        <v>489</v>
      </c>
      <c r="F257" s="74" t="s">
        <v>684</v>
      </c>
      <c r="G257" s="17">
        <v>1484917</v>
      </c>
      <c r="H257" s="52" t="s">
        <v>61</v>
      </c>
      <c r="I257" s="15" t="s">
        <v>634</v>
      </c>
      <c r="J257" s="52" t="s">
        <v>61</v>
      </c>
      <c r="K257" s="15" t="s">
        <v>147</v>
      </c>
      <c r="L257" s="15" t="s">
        <v>151</v>
      </c>
      <c r="M257" s="15" t="s">
        <v>537</v>
      </c>
      <c r="N257" s="15" t="s">
        <v>538</v>
      </c>
      <c r="O257" s="17" t="s">
        <v>61</v>
      </c>
      <c r="P257" s="17" t="s">
        <v>539</v>
      </c>
      <c r="Q257" s="18"/>
      <c r="R257" s="52"/>
      <c r="S257" s="15" t="s">
        <v>143</v>
      </c>
      <c r="T257" s="15"/>
      <c r="U257" s="15"/>
      <c r="V257" s="15">
        <v>71</v>
      </c>
      <c r="W257" s="15">
        <f t="shared" si="50"/>
        <v>71</v>
      </c>
      <c r="X257" s="15">
        <f t="shared" si="52"/>
        <v>71</v>
      </c>
      <c r="Y257" s="15">
        <f>ROUNDDOWN(W257/HLOOKUP(D257,Table!$C$3:$D$4,2,0)*8,2)</f>
        <v>1.26</v>
      </c>
      <c r="Z257" s="15">
        <v>0.2</v>
      </c>
      <c r="AA257" s="15" t="s">
        <v>18</v>
      </c>
      <c r="AB257" s="19"/>
      <c r="AC257" s="19">
        <v>43978</v>
      </c>
      <c r="AD257" s="19">
        <v>43984</v>
      </c>
      <c r="AE257" s="19">
        <v>43978</v>
      </c>
      <c r="AF257" s="19">
        <v>43978</v>
      </c>
      <c r="AG257" s="19" t="s">
        <v>177</v>
      </c>
      <c r="AH257" s="31">
        <v>1</v>
      </c>
      <c r="AI257" s="31">
        <v>1</v>
      </c>
      <c r="AJ257" s="31">
        <v>1</v>
      </c>
      <c r="AK257" s="19" t="s">
        <v>151</v>
      </c>
      <c r="AL257" s="144" t="s">
        <v>61</v>
      </c>
      <c r="AM257" s="144" t="s">
        <v>61</v>
      </c>
      <c r="AN257" s="144" t="s">
        <v>61</v>
      </c>
    </row>
    <row r="258" spans="2:40" x14ac:dyDescent="0.25">
      <c r="B258" s="158">
        <f t="shared" si="48"/>
        <v>199</v>
      </c>
      <c r="C258" s="16">
        <v>20200526</v>
      </c>
      <c r="D258" s="15" t="s">
        <v>3</v>
      </c>
      <c r="E258" s="15" t="s">
        <v>489</v>
      </c>
      <c r="F258" s="74" t="s">
        <v>685</v>
      </c>
      <c r="G258" s="17">
        <v>1484917</v>
      </c>
      <c r="H258" s="52" t="s">
        <v>61</v>
      </c>
      <c r="I258" s="15" t="s">
        <v>635</v>
      </c>
      <c r="J258" s="52" t="s">
        <v>61</v>
      </c>
      <c r="K258" s="15" t="s">
        <v>147</v>
      </c>
      <c r="L258" s="15" t="s">
        <v>151</v>
      </c>
      <c r="M258" s="15" t="s">
        <v>537</v>
      </c>
      <c r="N258" s="15" t="s">
        <v>538</v>
      </c>
      <c r="O258" s="17" t="s">
        <v>61</v>
      </c>
      <c r="P258" s="17" t="s">
        <v>539</v>
      </c>
      <c r="Q258" s="18"/>
      <c r="R258" s="52"/>
      <c r="S258" s="15" t="s">
        <v>143</v>
      </c>
      <c r="T258" s="15"/>
      <c r="U258" s="15"/>
      <c r="V258" s="15">
        <v>100</v>
      </c>
      <c r="W258" s="15">
        <f t="shared" si="50"/>
        <v>100</v>
      </c>
      <c r="X258" s="15">
        <f t="shared" si="52"/>
        <v>100</v>
      </c>
      <c r="Y258" s="15">
        <f>ROUNDDOWN(W258/HLOOKUP(D258,Table!$C$3:$D$4,2,0)*8,2)</f>
        <v>1.77</v>
      </c>
      <c r="Z258" s="15">
        <v>0.5</v>
      </c>
      <c r="AA258" s="15" t="s">
        <v>18</v>
      </c>
      <c r="AB258" s="19"/>
      <c r="AC258" s="19">
        <v>43978</v>
      </c>
      <c r="AD258" s="19">
        <v>43984</v>
      </c>
      <c r="AE258" s="19">
        <v>43978</v>
      </c>
      <c r="AF258" s="19">
        <v>43978</v>
      </c>
      <c r="AG258" s="19" t="s">
        <v>177</v>
      </c>
      <c r="AH258" s="31">
        <v>1</v>
      </c>
      <c r="AI258" s="31">
        <v>1</v>
      </c>
      <c r="AJ258" s="31">
        <v>1</v>
      </c>
      <c r="AK258" s="19" t="s">
        <v>151</v>
      </c>
      <c r="AL258" s="17" t="s">
        <v>61</v>
      </c>
      <c r="AM258" s="17" t="s">
        <v>61</v>
      </c>
      <c r="AN258" s="144" t="s">
        <v>61</v>
      </c>
    </row>
    <row r="259" spans="2:40" x14ac:dyDescent="0.25">
      <c r="B259" s="158">
        <f t="shared" si="48"/>
        <v>200</v>
      </c>
      <c r="C259" s="16">
        <v>20200526</v>
      </c>
      <c r="D259" s="15" t="s">
        <v>3</v>
      </c>
      <c r="E259" s="15" t="s">
        <v>489</v>
      </c>
      <c r="F259" s="74" t="s">
        <v>686</v>
      </c>
      <c r="G259" s="17">
        <v>1484917</v>
      </c>
      <c r="H259" s="52"/>
      <c r="I259" s="15" t="s">
        <v>200</v>
      </c>
      <c r="J259" s="52"/>
      <c r="K259" s="15" t="s">
        <v>147</v>
      </c>
      <c r="L259" s="15" t="s">
        <v>151</v>
      </c>
      <c r="M259" s="15" t="s">
        <v>537</v>
      </c>
      <c r="N259" s="15" t="s">
        <v>538</v>
      </c>
      <c r="O259" s="17" t="s">
        <v>61</v>
      </c>
      <c r="P259" s="17" t="s">
        <v>539</v>
      </c>
      <c r="Q259" s="18"/>
      <c r="R259" s="52"/>
      <c r="S259" s="15" t="s">
        <v>143</v>
      </c>
      <c r="T259" s="15"/>
      <c r="U259" s="15"/>
      <c r="V259" s="15">
        <v>87</v>
      </c>
      <c r="W259" s="15">
        <f t="shared" si="50"/>
        <v>87</v>
      </c>
      <c r="X259" s="15">
        <f t="shared" si="52"/>
        <v>87</v>
      </c>
      <c r="Y259" s="15">
        <f>ROUNDDOWN(W259/HLOOKUP(D259,Table!$C$3:$D$4,2,0)*8,2)</f>
        <v>1.54</v>
      </c>
      <c r="Z259" s="15">
        <v>0.5</v>
      </c>
      <c r="AA259" s="15" t="s">
        <v>18</v>
      </c>
      <c r="AB259" s="19"/>
      <c r="AC259" s="19">
        <v>43978</v>
      </c>
      <c r="AD259" s="19">
        <v>43984</v>
      </c>
      <c r="AE259" s="19">
        <v>43978</v>
      </c>
      <c r="AF259" s="19">
        <v>43978</v>
      </c>
      <c r="AG259" s="19" t="s">
        <v>177</v>
      </c>
      <c r="AH259" s="31">
        <v>1</v>
      </c>
      <c r="AI259" s="31">
        <v>1</v>
      </c>
      <c r="AJ259" s="31">
        <v>1</v>
      </c>
      <c r="AK259" s="19" t="s">
        <v>151</v>
      </c>
      <c r="AL259" s="17" t="s">
        <v>61</v>
      </c>
      <c r="AM259" s="17" t="s">
        <v>61</v>
      </c>
      <c r="AN259" s="144" t="s">
        <v>61</v>
      </c>
    </row>
    <row r="260" spans="2:40" x14ac:dyDescent="0.25">
      <c r="B260" s="158">
        <f t="shared" si="48"/>
        <v>201</v>
      </c>
      <c r="C260" s="16">
        <v>20200526</v>
      </c>
      <c r="D260" s="15" t="s">
        <v>3</v>
      </c>
      <c r="E260" s="15" t="s">
        <v>489</v>
      </c>
      <c r="F260" s="74" t="s">
        <v>687</v>
      </c>
      <c r="G260" s="17">
        <v>1484917</v>
      </c>
      <c r="H260" s="52"/>
      <c r="I260" s="15" t="s">
        <v>636</v>
      </c>
      <c r="J260" s="52"/>
      <c r="K260" s="15" t="s">
        <v>147</v>
      </c>
      <c r="L260" s="15" t="s">
        <v>151</v>
      </c>
      <c r="M260" s="15" t="s">
        <v>537</v>
      </c>
      <c r="N260" s="15" t="s">
        <v>538</v>
      </c>
      <c r="O260" s="17" t="s">
        <v>61</v>
      </c>
      <c r="P260" s="17" t="s">
        <v>539</v>
      </c>
      <c r="Q260" s="18"/>
      <c r="R260" s="52"/>
      <c r="S260" s="15" t="s">
        <v>143</v>
      </c>
      <c r="T260" s="15"/>
      <c r="U260" s="15"/>
      <c r="V260" s="15">
        <v>101</v>
      </c>
      <c r="W260" s="15">
        <f t="shared" si="50"/>
        <v>101</v>
      </c>
      <c r="X260" s="15">
        <f t="shared" si="52"/>
        <v>101</v>
      </c>
      <c r="Y260" s="15">
        <f>ROUNDDOWN(W260/HLOOKUP(D260,Table!$C$3:$D$4,2,0)*8,2)</f>
        <v>1.79</v>
      </c>
      <c r="Z260" s="15">
        <v>0.5</v>
      </c>
      <c r="AA260" s="15" t="s">
        <v>18</v>
      </c>
      <c r="AB260" s="19"/>
      <c r="AC260" s="19">
        <v>43978</v>
      </c>
      <c r="AD260" s="19">
        <v>43984</v>
      </c>
      <c r="AE260" s="19">
        <v>43978</v>
      </c>
      <c r="AF260" s="19">
        <v>43978</v>
      </c>
      <c r="AG260" s="19" t="s">
        <v>177</v>
      </c>
      <c r="AH260" s="31">
        <v>1</v>
      </c>
      <c r="AI260" s="31">
        <v>1</v>
      </c>
      <c r="AJ260" s="31">
        <v>1</v>
      </c>
      <c r="AK260" s="19" t="s">
        <v>151</v>
      </c>
      <c r="AL260" s="17" t="s">
        <v>61</v>
      </c>
      <c r="AM260" s="17" t="s">
        <v>61</v>
      </c>
      <c r="AN260" s="144" t="s">
        <v>61</v>
      </c>
    </row>
    <row r="261" spans="2:40" x14ac:dyDescent="0.25">
      <c r="B261" s="158">
        <f t="shared" si="48"/>
        <v>202</v>
      </c>
      <c r="C261" s="16">
        <v>20200526</v>
      </c>
      <c r="D261" s="15" t="s">
        <v>3</v>
      </c>
      <c r="E261" s="15" t="s">
        <v>489</v>
      </c>
      <c r="F261" s="74" t="s">
        <v>688</v>
      </c>
      <c r="G261" s="17">
        <v>1484917</v>
      </c>
      <c r="H261" s="52"/>
      <c r="I261" s="15" t="s">
        <v>637</v>
      </c>
      <c r="J261" s="52"/>
      <c r="K261" s="15" t="s">
        <v>147</v>
      </c>
      <c r="L261" s="15" t="s">
        <v>151</v>
      </c>
      <c r="M261" s="15" t="s">
        <v>537</v>
      </c>
      <c r="N261" s="15" t="s">
        <v>538</v>
      </c>
      <c r="O261" s="17" t="s">
        <v>61</v>
      </c>
      <c r="P261" s="17" t="s">
        <v>539</v>
      </c>
      <c r="Q261" s="18"/>
      <c r="R261" s="52"/>
      <c r="S261" s="15" t="s">
        <v>143</v>
      </c>
      <c r="T261" s="15"/>
      <c r="U261" s="15"/>
      <c r="V261" s="15">
        <v>4</v>
      </c>
      <c r="W261" s="15">
        <f t="shared" si="50"/>
        <v>4</v>
      </c>
      <c r="X261" s="15">
        <f t="shared" si="52"/>
        <v>4</v>
      </c>
      <c r="Y261" s="15">
        <f>ROUNDDOWN(W261/HLOOKUP(D261,Table!$C$3:$D$4,2,0)*8,2)</f>
        <v>7.0000000000000007E-2</v>
      </c>
      <c r="Z261" s="15">
        <v>0.01</v>
      </c>
      <c r="AA261" s="15" t="s">
        <v>18</v>
      </c>
      <c r="AB261" s="19"/>
      <c r="AC261" s="19">
        <v>43978</v>
      </c>
      <c r="AD261" s="19">
        <v>43984</v>
      </c>
      <c r="AE261" s="19">
        <v>43978</v>
      </c>
      <c r="AF261" s="19">
        <v>43978</v>
      </c>
      <c r="AG261" s="19" t="s">
        <v>177</v>
      </c>
      <c r="AH261" s="80" t="s">
        <v>61</v>
      </c>
      <c r="AI261" s="80" t="s">
        <v>61</v>
      </c>
      <c r="AJ261" s="80" t="s">
        <v>61</v>
      </c>
      <c r="AK261" s="19" t="s">
        <v>151</v>
      </c>
      <c r="AL261" s="17" t="s">
        <v>61</v>
      </c>
      <c r="AM261" s="17" t="s">
        <v>61</v>
      </c>
      <c r="AN261" s="170" t="s">
        <v>195</v>
      </c>
    </row>
    <row r="262" spans="2:40" x14ac:dyDescent="0.25">
      <c r="B262" s="158">
        <f t="shared" si="48"/>
        <v>203</v>
      </c>
      <c r="C262" s="16">
        <v>20200526</v>
      </c>
      <c r="D262" s="15" t="s">
        <v>3</v>
      </c>
      <c r="E262" s="15" t="s">
        <v>489</v>
      </c>
      <c r="F262" s="74" t="s">
        <v>689</v>
      </c>
      <c r="G262" s="17">
        <v>1484917</v>
      </c>
      <c r="H262" s="52"/>
      <c r="I262" s="15" t="s">
        <v>638</v>
      </c>
      <c r="J262" s="52"/>
      <c r="K262" s="15" t="s">
        <v>147</v>
      </c>
      <c r="L262" s="15" t="s">
        <v>151</v>
      </c>
      <c r="M262" s="15" t="s">
        <v>537</v>
      </c>
      <c r="N262" s="15" t="s">
        <v>538</v>
      </c>
      <c r="O262" s="17" t="s">
        <v>61</v>
      </c>
      <c r="P262" s="17" t="s">
        <v>539</v>
      </c>
      <c r="Q262" s="18"/>
      <c r="R262" s="52"/>
      <c r="S262" s="15" t="s">
        <v>143</v>
      </c>
      <c r="T262" s="15"/>
      <c r="U262" s="15"/>
      <c r="V262" s="15">
        <v>131</v>
      </c>
      <c r="W262" s="15">
        <f t="shared" si="50"/>
        <v>131</v>
      </c>
      <c r="X262" s="15">
        <f t="shared" si="52"/>
        <v>131</v>
      </c>
      <c r="Y262" s="15">
        <f>ROUNDDOWN(W262/HLOOKUP(D262,Table!$C$3:$D$4,2,0)*8,2)</f>
        <v>2.3199999999999998</v>
      </c>
      <c r="Z262" s="15">
        <v>0.5</v>
      </c>
      <c r="AA262" s="15" t="s">
        <v>18</v>
      </c>
      <c r="AB262" s="19"/>
      <c r="AC262" s="19">
        <v>43978</v>
      </c>
      <c r="AD262" s="19">
        <v>43984</v>
      </c>
      <c r="AE262" s="19">
        <v>43978</v>
      </c>
      <c r="AF262" s="19">
        <v>43978</v>
      </c>
      <c r="AG262" s="19" t="s">
        <v>177</v>
      </c>
      <c r="AH262" s="31">
        <v>1</v>
      </c>
      <c r="AI262" s="31">
        <v>1</v>
      </c>
      <c r="AJ262" s="31">
        <v>1</v>
      </c>
      <c r="AK262" s="19" t="s">
        <v>151</v>
      </c>
      <c r="AL262" s="17" t="s">
        <v>61</v>
      </c>
      <c r="AM262" s="17" t="s">
        <v>61</v>
      </c>
      <c r="AN262" s="144" t="s">
        <v>61</v>
      </c>
    </row>
    <row r="263" spans="2:40" x14ac:dyDescent="0.25">
      <c r="B263" s="158">
        <f t="shared" si="48"/>
        <v>204</v>
      </c>
      <c r="C263" s="16">
        <v>20200526</v>
      </c>
      <c r="D263" s="15" t="s">
        <v>3</v>
      </c>
      <c r="E263" s="15" t="s">
        <v>489</v>
      </c>
      <c r="F263" s="74" t="s">
        <v>690</v>
      </c>
      <c r="G263" s="17">
        <v>1484917</v>
      </c>
      <c r="H263" s="52"/>
      <c r="I263" s="15" t="s">
        <v>639</v>
      </c>
      <c r="J263" s="52"/>
      <c r="K263" s="15" t="s">
        <v>147</v>
      </c>
      <c r="L263" s="15" t="s">
        <v>151</v>
      </c>
      <c r="M263" s="15" t="s">
        <v>537</v>
      </c>
      <c r="N263" s="15" t="s">
        <v>538</v>
      </c>
      <c r="O263" s="17" t="s">
        <v>61</v>
      </c>
      <c r="P263" s="17" t="s">
        <v>539</v>
      </c>
      <c r="Q263" s="18"/>
      <c r="R263" s="52"/>
      <c r="S263" s="15" t="s">
        <v>143</v>
      </c>
      <c r="T263" s="15"/>
      <c r="U263" s="15"/>
      <c r="V263" s="15">
        <v>178</v>
      </c>
      <c r="W263" s="15">
        <f t="shared" si="50"/>
        <v>178</v>
      </c>
      <c r="X263" s="15">
        <f t="shared" si="52"/>
        <v>178</v>
      </c>
      <c r="Y263" s="15">
        <f>ROUNDDOWN(W263/HLOOKUP(D263,Table!$C$3:$D$4,2,0)*8,2)</f>
        <v>3.16</v>
      </c>
      <c r="Z263" s="15">
        <v>0.5</v>
      </c>
      <c r="AA263" s="15" t="s">
        <v>18</v>
      </c>
      <c r="AB263" s="19"/>
      <c r="AC263" s="19">
        <v>43978</v>
      </c>
      <c r="AD263" s="19">
        <v>43984</v>
      </c>
      <c r="AE263" s="19">
        <v>43978</v>
      </c>
      <c r="AF263" s="19">
        <v>43978</v>
      </c>
      <c r="AG263" s="19" t="s">
        <v>177</v>
      </c>
      <c r="AH263" s="31">
        <v>1</v>
      </c>
      <c r="AI263" s="31">
        <v>1</v>
      </c>
      <c r="AJ263" s="31">
        <v>1</v>
      </c>
      <c r="AK263" s="19" t="s">
        <v>151</v>
      </c>
      <c r="AL263" s="17" t="s">
        <v>61</v>
      </c>
      <c r="AM263" s="17" t="s">
        <v>61</v>
      </c>
      <c r="AN263" s="144" t="s">
        <v>61</v>
      </c>
    </row>
    <row r="264" spans="2:40" x14ac:dyDescent="0.25">
      <c r="B264" s="158">
        <f t="shared" si="48"/>
        <v>205</v>
      </c>
      <c r="C264" s="16">
        <v>20200526</v>
      </c>
      <c r="D264" s="15" t="s">
        <v>3</v>
      </c>
      <c r="E264" s="15" t="s">
        <v>489</v>
      </c>
      <c r="F264" s="74" t="s">
        <v>691</v>
      </c>
      <c r="G264" s="17">
        <v>1484917</v>
      </c>
      <c r="H264" s="52"/>
      <c r="I264" s="15" t="s">
        <v>640</v>
      </c>
      <c r="J264" s="52"/>
      <c r="K264" s="15" t="s">
        <v>147</v>
      </c>
      <c r="L264" s="15" t="s">
        <v>151</v>
      </c>
      <c r="M264" s="15" t="s">
        <v>537</v>
      </c>
      <c r="N264" s="15" t="s">
        <v>538</v>
      </c>
      <c r="O264" s="17" t="s">
        <v>61</v>
      </c>
      <c r="P264" s="17" t="s">
        <v>539</v>
      </c>
      <c r="Q264" s="18"/>
      <c r="R264" s="52"/>
      <c r="S264" s="15" t="s">
        <v>143</v>
      </c>
      <c r="T264" s="15"/>
      <c r="U264" s="15"/>
      <c r="V264" s="15">
        <v>393</v>
      </c>
      <c r="W264" s="15">
        <f t="shared" si="50"/>
        <v>393</v>
      </c>
      <c r="X264" s="15">
        <f t="shared" si="52"/>
        <v>393</v>
      </c>
      <c r="Y264" s="15">
        <f>ROUNDDOWN(W264/HLOOKUP(D264,Table!$C$3:$D$4,2,0)*8,2)</f>
        <v>6.98</v>
      </c>
      <c r="Z264" s="15">
        <v>0.2</v>
      </c>
      <c r="AA264" s="15" t="s">
        <v>18</v>
      </c>
      <c r="AB264" s="19"/>
      <c r="AC264" s="19">
        <v>43978</v>
      </c>
      <c r="AD264" s="19">
        <v>43984</v>
      </c>
      <c r="AE264" s="19">
        <v>43978</v>
      </c>
      <c r="AF264" s="19">
        <v>43978</v>
      </c>
      <c r="AG264" s="19" t="s">
        <v>177</v>
      </c>
      <c r="AH264" s="80" t="s">
        <v>61</v>
      </c>
      <c r="AI264" s="80" t="s">
        <v>61</v>
      </c>
      <c r="AJ264" s="80" t="s">
        <v>61</v>
      </c>
      <c r="AK264" s="19" t="s">
        <v>151</v>
      </c>
      <c r="AL264" s="17" t="s">
        <v>61</v>
      </c>
      <c r="AM264" s="17" t="s">
        <v>61</v>
      </c>
      <c r="AN264" s="170" t="s">
        <v>195</v>
      </c>
    </row>
    <row r="265" spans="2:40" x14ac:dyDescent="0.25">
      <c r="B265" s="158">
        <f t="shared" si="48"/>
        <v>206</v>
      </c>
      <c r="C265" s="16">
        <v>20200526</v>
      </c>
      <c r="D265" s="15" t="s">
        <v>3</v>
      </c>
      <c r="E265" s="15" t="s">
        <v>489</v>
      </c>
      <c r="F265" s="74" t="s">
        <v>692</v>
      </c>
      <c r="G265" s="17">
        <v>1484917</v>
      </c>
      <c r="H265" s="52"/>
      <c r="I265" s="15" t="s">
        <v>641</v>
      </c>
      <c r="J265" s="52"/>
      <c r="K265" s="15" t="s">
        <v>147</v>
      </c>
      <c r="L265" s="15" t="s">
        <v>151</v>
      </c>
      <c r="M265" s="15" t="s">
        <v>537</v>
      </c>
      <c r="N265" s="15" t="s">
        <v>538</v>
      </c>
      <c r="O265" s="17" t="s">
        <v>61</v>
      </c>
      <c r="P265" s="17" t="s">
        <v>539</v>
      </c>
      <c r="Q265" s="18"/>
      <c r="R265" s="52"/>
      <c r="S265" s="15" t="s">
        <v>143</v>
      </c>
      <c r="T265" s="15"/>
      <c r="U265" s="15"/>
      <c r="V265" s="15">
        <v>52</v>
      </c>
      <c r="W265" s="15">
        <f t="shared" si="50"/>
        <v>52</v>
      </c>
      <c r="X265" s="15">
        <f t="shared" si="52"/>
        <v>52</v>
      </c>
      <c r="Y265" s="15">
        <f>ROUNDDOWN(W265/HLOOKUP(D265,Table!$C$3:$D$4,2,0)*8,2)</f>
        <v>0.92</v>
      </c>
      <c r="Z265" s="15">
        <v>0.2</v>
      </c>
      <c r="AA265" s="15" t="s">
        <v>18</v>
      </c>
      <c r="AB265" s="19"/>
      <c r="AC265" s="19">
        <v>43978</v>
      </c>
      <c r="AD265" s="19">
        <v>43984</v>
      </c>
      <c r="AE265" s="19">
        <v>43978</v>
      </c>
      <c r="AF265" s="19">
        <v>43978</v>
      </c>
      <c r="AG265" s="19" t="s">
        <v>177</v>
      </c>
      <c r="AH265" s="31">
        <v>1</v>
      </c>
      <c r="AI265" s="31">
        <v>1</v>
      </c>
      <c r="AJ265" s="31">
        <v>1</v>
      </c>
      <c r="AK265" s="19" t="s">
        <v>151</v>
      </c>
      <c r="AL265" s="17" t="s">
        <v>61</v>
      </c>
      <c r="AM265" s="17" t="s">
        <v>61</v>
      </c>
      <c r="AN265" s="144" t="s">
        <v>61</v>
      </c>
    </row>
    <row r="266" spans="2:40" x14ac:dyDescent="0.25">
      <c r="B266" s="158">
        <f t="shared" si="48"/>
        <v>207</v>
      </c>
      <c r="C266" s="16">
        <v>20200526</v>
      </c>
      <c r="D266" s="15" t="s">
        <v>3</v>
      </c>
      <c r="E266" s="15" t="s">
        <v>489</v>
      </c>
      <c r="F266" s="74" t="s">
        <v>693</v>
      </c>
      <c r="G266" s="17">
        <v>1484917</v>
      </c>
      <c r="H266" s="52"/>
      <c r="I266" s="15" t="s">
        <v>642</v>
      </c>
      <c r="J266" s="52"/>
      <c r="K266" s="15" t="s">
        <v>147</v>
      </c>
      <c r="L266" s="15" t="s">
        <v>151</v>
      </c>
      <c r="M266" s="15" t="s">
        <v>537</v>
      </c>
      <c r="N266" s="15" t="s">
        <v>538</v>
      </c>
      <c r="O266" s="17" t="s">
        <v>61</v>
      </c>
      <c r="P266" s="17" t="s">
        <v>539</v>
      </c>
      <c r="Q266" s="18"/>
      <c r="R266" s="52"/>
      <c r="S266" s="15" t="s">
        <v>143</v>
      </c>
      <c r="T266" s="15"/>
      <c r="U266" s="15"/>
      <c r="V266" s="15">
        <v>975</v>
      </c>
      <c r="W266" s="15">
        <f t="shared" si="50"/>
        <v>975</v>
      </c>
      <c r="X266" s="15">
        <f t="shared" si="52"/>
        <v>975</v>
      </c>
      <c r="Y266" s="15">
        <f>ROUNDDOWN(W266/HLOOKUP(D266,Table!$C$3:$D$4,2,0)*8,2)</f>
        <v>17.329999999999998</v>
      </c>
      <c r="Z266" s="15">
        <v>0.1</v>
      </c>
      <c r="AA266" s="15" t="s">
        <v>18</v>
      </c>
      <c r="AB266" s="19"/>
      <c r="AC266" s="19">
        <v>43978</v>
      </c>
      <c r="AD266" s="19">
        <v>43984</v>
      </c>
      <c r="AE266" s="86">
        <v>43978</v>
      </c>
      <c r="AF266" s="86">
        <v>43978</v>
      </c>
      <c r="AG266" s="159" t="s">
        <v>177</v>
      </c>
      <c r="AH266" s="167" t="s">
        <v>61</v>
      </c>
      <c r="AI266" s="167" t="s">
        <v>61</v>
      </c>
      <c r="AJ266" s="167" t="s">
        <v>61</v>
      </c>
      <c r="AK266" s="86" t="s">
        <v>151</v>
      </c>
      <c r="AL266" s="78" t="s">
        <v>61</v>
      </c>
      <c r="AM266" s="78" t="s">
        <v>61</v>
      </c>
      <c r="AN266" s="170" t="s">
        <v>195</v>
      </c>
    </row>
    <row r="267" spans="2:40" hidden="1" x14ac:dyDescent="0.25">
      <c r="B267" s="158">
        <f t="shared" si="48"/>
        <v>208</v>
      </c>
      <c r="C267" s="16">
        <v>20200526</v>
      </c>
      <c r="D267" s="15" t="s">
        <v>3</v>
      </c>
      <c r="E267" s="15" t="s">
        <v>489</v>
      </c>
      <c r="F267" s="74" t="s">
        <v>694</v>
      </c>
      <c r="G267" s="17">
        <v>1484917</v>
      </c>
      <c r="H267" s="52"/>
      <c r="I267" s="15" t="s">
        <v>257</v>
      </c>
      <c r="J267" s="52"/>
      <c r="K267" s="15" t="s">
        <v>147</v>
      </c>
      <c r="L267" s="15" t="s">
        <v>151</v>
      </c>
      <c r="M267" s="15" t="s">
        <v>537</v>
      </c>
      <c r="N267" s="15" t="s">
        <v>538</v>
      </c>
      <c r="O267" s="17" t="s">
        <v>61</v>
      </c>
      <c r="P267" s="17" t="s">
        <v>539</v>
      </c>
      <c r="Q267" s="18"/>
      <c r="R267" s="52"/>
      <c r="S267" s="15" t="s">
        <v>65</v>
      </c>
      <c r="T267" s="15"/>
      <c r="U267" s="15"/>
      <c r="V267" s="15">
        <v>165</v>
      </c>
      <c r="W267" s="15">
        <f t="shared" si="50"/>
        <v>165</v>
      </c>
      <c r="X267" s="15">
        <f>W267</f>
        <v>165</v>
      </c>
      <c r="Y267" s="15">
        <f>ROUNDDOWN(W267/HLOOKUP(D267,Table!$C$3:$D$4,2,0)*8,2)</f>
        <v>2.93</v>
      </c>
      <c r="Z267" s="15">
        <v>1</v>
      </c>
      <c r="AA267" s="15" t="s">
        <v>18</v>
      </c>
      <c r="AB267" s="19"/>
      <c r="AC267" s="19">
        <v>43978</v>
      </c>
      <c r="AD267" s="19">
        <v>43984</v>
      </c>
      <c r="AE267" s="19">
        <v>43978</v>
      </c>
      <c r="AF267" s="19">
        <v>43978</v>
      </c>
      <c r="AG267" s="19" t="s">
        <v>177</v>
      </c>
      <c r="AH267" s="31">
        <v>1</v>
      </c>
      <c r="AI267" s="31">
        <v>1</v>
      </c>
      <c r="AJ267" s="31">
        <v>1</v>
      </c>
      <c r="AK267" s="19" t="s">
        <v>151</v>
      </c>
      <c r="AL267" s="15"/>
      <c r="AM267" s="15"/>
      <c r="AN267" s="15"/>
    </row>
    <row r="268" spans="2:40" hidden="1" x14ac:dyDescent="0.25">
      <c r="B268" s="158">
        <f t="shared" si="48"/>
        <v>209</v>
      </c>
      <c r="C268" s="16">
        <v>20200526</v>
      </c>
      <c r="D268" s="15" t="s">
        <v>3</v>
      </c>
      <c r="E268" s="15" t="s">
        <v>489</v>
      </c>
      <c r="F268" s="74" t="s">
        <v>695</v>
      </c>
      <c r="G268" s="17">
        <v>1484917</v>
      </c>
      <c r="H268" s="52"/>
      <c r="I268" s="15" t="s">
        <v>643</v>
      </c>
      <c r="J268" s="52"/>
      <c r="K268" s="15" t="s">
        <v>147</v>
      </c>
      <c r="L268" s="15" t="s">
        <v>151</v>
      </c>
      <c r="M268" s="15" t="s">
        <v>537</v>
      </c>
      <c r="N268" s="15" t="s">
        <v>538</v>
      </c>
      <c r="O268" s="17" t="s">
        <v>61</v>
      </c>
      <c r="P268" s="17" t="s">
        <v>539</v>
      </c>
      <c r="Q268" s="18"/>
      <c r="R268" s="52"/>
      <c r="S268" s="15" t="s">
        <v>65</v>
      </c>
      <c r="T268" s="15"/>
      <c r="U268" s="15"/>
      <c r="V268" s="15">
        <v>12</v>
      </c>
      <c r="W268" s="15">
        <f t="shared" si="50"/>
        <v>12</v>
      </c>
      <c r="X268" s="15">
        <f>W268</f>
        <v>12</v>
      </c>
      <c r="Y268" s="15">
        <f>ROUNDDOWN(W268/HLOOKUP(D268,Table!$C$3:$D$4,2,0)*8,2)</f>
        <v>0.21</v>
      </c>
      <c r="Z268" s="15">
        <v>0</v>
      </c>
      <c r="AA268" s="15" t="s">
        <v>18</v>
      </c>
      <c r="AB268" s="19"/>
      <c r="AC268" s="19">
        <v>43978</v>
      </c>
      <c r="AD268" s="19">
        <v>43984</v>
      </c>
      <c r="AE268" s="19">
        <v>43978</v>
      </c>
      <c r="AF268" s="19">
        <v>43978</v>
      </c>
      <c r="AG268" s="19" t="s">
        <v>177</v>
      </c>
      <c r="AH268" s="31">
        <v>1</v>
      </c>
      <c r="AI268" s="31">
        <v>1</v>
      </c>
      <c r="AJ268" s="31">
        <v>1</v>
      </c>
      <c r="AK268" s="19" t="s">
        <v>151</v>
      </c>
      <c r="AL268" s="15"/>
      <c r="AM268" s="15"/>
      <c r="AN268" s="15"/>
    </row>
    <row r="269" spans="2:40" hidden="1" x14ac:dyDescent="0.25">
      <c r="B269" s="158">
        <f t="shared" si="48"/>
        <v>210</v>
      </c>
      <c r="C269" s="16">
        <v>20200526</v>
      </c>
      <c r="D269" s="15" t="s">
        <v>3</v>
      </c>
      <c r="E269" s="15" t="s">
        <v>489</v>
      </c>
      <c r="F269" s="74" t="s">
        <v>696</v>
      </c>
      <c r="G269" s="17">
        <v>1484917</v>
      </c>
      <c r="H269" s="52"/>
      <c r="I269" s="15" t="s">
        <v>644</v>
      </c>
      <c r="J269" s="52"/>
      <c r="K269" s="15" t="s">
        <v>147</v>
      </c>
      <c r="L269" s="15" t="s">
        <v>151</v>
      </c>
      <c r="M269" s="15" t="s">
        <v>537</v>
      </c>
      <c r="N269" s="15" t="s">
        <v>538</v>
      </c>
      <c r="O269" s="17" t="s">
        <v>61</v>
      </c>
      <c r="P269" s="17" t="s">
        <v>539</v>
      </c>
      <c r="Q269" s="18"/>
      <c r="R269" s="52"/>
      <c r="S269" s="15" t="s">
        <v>65</v>
      </c>
      <c r="T269" s="15"/>
      <c r="U269" s="15"/>
      <c r="V269" s="15">
        <v>144</v>
      </c>
      <c r="W269" s="15">
        <f t="shared" si="50"/>
        <v>144</v>
      </c>
      <c r="X269" s="15"/>
      <c r="Y269" s="15">
        <f>ROUNDDOWN(W269/HLOOKUP(D269,Table!$C$3:$D$4,2,0)*8,2)</f>
        <v>2.56</v>
      </c>
      <c r="Z269" s="15"/>
      <c r="AA269" s="15"/>
      <c r="AB269" s="19"/>
      <c r="AC269" s="19">
        <v>43978</v>
      </c>
      <c r="AD269" s="19">
        <v>43984</v>
      </c>
      <c r="AE269" s="19"/>
      <c r="AF269" s="19"/>
      <c r="AG269" s="19"/>
      <c r="AH269" s="31"/>
      <c r="AI269" s="31"/>
      <c r="AJ269" s="31"/>
      <c r="AK269" s="19"/>
      <c r="AL269" s="15"/>
      <c r="AM269" s="15"/>
      <c r="AN269" s="15"/>
    </row>
    <row r="270" spans="2:40" hidden="1" x14ac:dyDescent="0.25">
      <c r="B270" s="158">
        <f t="shared" si="48"/>
        <v>211</v>
      </c>
      <c r="C270" s="16">
        <v>20200526</v>
      </c>
      <c r="D270" s="15" t="s">
        <v>3</v>
      </c>
      <c r="E270" s="15" t="s">
        <v>489</v>
      </c>
      <c r="F270" s="74" t="s">
        <v>697</v>
      </c>
      <c r="G270" s="17">
        <v>1484917</v>
      </c>
      <c r="H270" s="52"/>
      <c r="I270" s="15" t="s">
        <v>160</v>
      </c>
      <c r="J270" s="52"/>
      <c r="K270" s="15" t="s">
        <v>147</v>
      </c>
      <c r="L270" s="15" t="s">
        <v>151</v>
      </c>
      <c r="M270" s="15" t="s">
        <v>537</v>
      </c>
      <c r="N270" s="15" t="s">
        <v>538</v>
      </c>
      <c r="O270" s="17" t="s">
        <v>61</v>
      </c>
      <c r="P270" s="17" t="s">
        <v>539</v>
      </c>
      <c r="Q270" s="18"/>
      <c r="R270" s="52"/>
      <c r="S270" s="15" t="s">
        <v>65</v>
      </c>
      <c r="T270" s="15"/>
      <c r="U270" s="15"/>
      <c r="V270" s="15">
        <v>65</v>
      </c>
      <c r="W270" s="15">
        <f t="shared" si="50"/>
        <v>65</v>
      </c>
      <c r="X270" s="15"/>
      <c r="Y270" s="15">
        <f>ROUNDDOWN(W270/HLOOKUP(D270,Table!$C$3:$D$4,2,0)*8,2)</f>
        <v>1.1499999999999999</v>
      </c>
      <c r="Z270" s="15"/>
      <c r="AA270" s="15"/>
      <c r="AB270" s="19"/>
      <c r="AC270" s="19">
        <v>43978</v>
      </c>
      <c r="AD270" s="19">
        <v>43984</v>
      </c>
      <c r="AE270" s="19"/>
      <c r="AF270" s="19"/>
      <c r="AG270" s="19"/>
      <c r="AH270" s="31"/>
      <c r="AI270" s="31"/>
      <c r="AJ270" s="31"/>
      <c r="AK270" s="19"/>
      <c r="AL270" s="15"/>
      <c r="AM270" s="15"/>
      <c r="AN270" s="15"/>
    </row>
    <row r="271" spans="2:40" hidden="1" x14ac:dyDescent="0.25">
      <c r="B271" s="158">
        <f t="shared" si="48"/>
        <v>212</v>
      </c>
      <c r="C271" s="16">
        <v>20200526</v>
      </c>
      <c r="D271" s="15" t="s">
        <v>3</v>
      </c>
      <c r="E271" s="15" t="s">
        <v>489</v>
      </c>
      <c r="F271" s="74" t="s">
        <v>698</v>
      </c>
      <c r="G271" s="17">
        <v>1484917</v>
      </c>
      <c r="H271" s="52"/>
      <c r="I271" s="15" t="s">
        <v>154</v>
      </c>
      <c r="J271" s="52"/>
      <c r="K271" s="15" t="s">
        <v>147</v>
      </c>
      <c r="L271" s="15" t="s">
        <v>151</v>
      </c>
      <c r="M271" s="15" t="s">
        <v>537</v>
      </c>
      <c r="N271" s="15" t="s">
        <v>538</v>
      </c>
      <c r="O271" s="17" t="s">
        <v>61</v>
      </c>
      <c r="P271" s="17" t="s">
        <v>539</v>
      </c>
      <c r="Q271" s="18"/>
      <c r="R271" s="52"/>
      <c r="S271" s="15" t="s">
        <v>65</v>
      </c>
      <c r="T271" s="15"/>
      <c r="U271" s="15"/>
      <c r="V271" s="15">
        <v>175</v>
      </c>
      <c r="W271" s="15">
        <f t="shared" si="50"/>
        <v>175</v>
      </c>
      <c r="X271" s="15"/>
      <c r="Y271" s="15">
        <f>ROUNDDOWN(W271/HLOOKUP(D271,Table!$C$3:$D$4,2,0)*8,2)</f>
        <v>3.11</v>
      </c>
      <c r="Z271" s="15"/>
      <c r="AA271" s="15"/>
      <c r="AB271" s="19"/>
      <c r="AC271" s="19">
        <v>43978</v>
      </c>
      <c r="AD271" s="19">
        <v>43984</v>
      </c>
      <c r="AE271" s="19"/>
      <c r="AF271" s="19"/>
      <c r="AG271" s="19"/>
      <c r="AH271" s="31"/>
      <c r="AI271" s="31"/>
      <c r="AJ271" s="31"/>
      <c r="AK271" s="19"/>
      <c r="AL271" s="15"/>
      <c r="AM271" s="15"/>
      <c r="AN271" s="15"/>
    </row>
    <row r="272" spans="2:40" hidden="1" x14ac:dyDescent="0.25">
      <c r="B272" s="158">
        <f t="shared" si="48"/>
        <v>213</v>
      </c>
      <c r="C272" s="16">
        <v>20200526</v>
      </c>
      <c r="D272" s="15" t="s">
        <v>3</v>
      </c>
      <c r="E272" s="15" t="s">
        <v>489</v>
      </c>
      <c r="F272" s="74" t="s">
        <v>699</v>
      </c>
      <c r="G272" s="17">
        <v>1484917</v>
      </c>
      <c r="H272" s="52"/>
      <c r="I272" s="15" t="s">
        <v>645</v>
      </c>
      <c r="J272" s="52"/>
      <c r="K272" s="15" t="s">
        <v>147</v>
      </c>
      <c r="L272" s="15" t="s">
        <v>151</v>
      </c>
      <c r="M272" s="15" t="s">
        <v>537</v>
      </c>
      <c r="N272" s="15" t="s">
        <v>538</v>
      </c>
      <c r="O272" s="17" t="s">
        <v>61</v>
      </c>
      <c r="P272" s="17" t="s">
        <v>539</v>
      </c>
      <c r="Q272" s="18"/>
      <c r="R272" s="52"/>
      <c r="S272" s="15" t="s">
        <v>65</v>
      </c>
      <c r="T272" s="15"/>
      <c r="U272" s="15"/>
      <c r="V272" s="15">
        <v>6</v>
      </c>
      <c r="W272" s="15">
        <f t="shared" si="50"/>
        <v>6</v>
      </c>
      <c r="X272" s="15">
        <f>W272</f>
        <v>6</v>
      </c>
      <c r="Y272" s="15">
        <f>ROUNDDOWN(W272/HLOOKUP(D272,Table!$C$3:$D$4,2,0)*8,2)</f>
        <v>0.1</v>
      </c>
      <c r="Z272" s="15">
        <v>0</v>
      </c>
      <c r="AA272" s="15" t="s">
        <v>18</v>
      </c>
      <c r="AB272" s="19"/>
      <c r="AC272" s="19">
        <v>43978</v>
      </c>
      <c r="AD272" s="19">
        <v>43984</v>
      </c>
      <c r="AE272" s="19">
        <v>43978</v>
      </c>
      <c r="AF272" s="19">
        <v>43978</v>
      </c>
      <c r="AG272" s="19" t="s">
        <v>177</v>
      </c>
      <c r="AH272" s="31" t="s">
        <v>61</v>
      </c>
      <c r="AI272" s="31" t="s">
        <v>61</v>
      </c>
      <c r="AJ272" s="31" t="s">
        <v>61</v>
      </c>
      <c r="AK272" s="31" t="s">
        <v>61</v>
      </c>
      <c r="AL272" s="15"/>
      <c r="AM272" s="15"/>
      <c r="AN272" s="171" t="s">
        <v>195</v>
      </c>
    </row>
    <row r="273" spans="2:40" hidden="1" x14ac:dyDescent="0.25">
      <c r="B273" s="158">
        <f t="shared" ref="B273:B293" si="53">B272+1</f>
        <v>214</v>
      </c>
      <c r="C273" s="16">
        <v>20200526</v>
      </c>
      <c r="D273" s="15" t="s">
        <v>3</v>
      </c>
      <c r="E273" s="15" t="s">
        <v>489</v>
      </c>
      <c r="F273" s="74" t="s">
        <v>700</v>
      </c>
      <c r="G273" s="17">
        <v>1484917</v>
      </c>
      <c r="H273" s="52"/>
      <c r="I273" s="15" t="s">
        <v>616</v>
      </c>
      <c r="J273" s="52"/>
      <c r="K273" s="15" t="s">
        <v>147</v>
      </c>
      <c r="L273" s="15" t="s">
        <v>151</v>
      </c>
      <c r="M273" s="15" t="s">
        <v>537</v>
      </c>
      <c r="N273" s="15" t="s">
        <v>538</v>
      </c>
      <c r="O273" s="17" t="s">
        <v>61</v>
      </c>
      <c r="P273" s="17" t="s">
        <v>539</v>
      </c>
      <c r="Q273" s="18"/>
      <c r="R273" s="52"/>
      <c r="S273" s="15" t="s">
        <v>65</v>
      </c>
      <c r="T273" s="15"/>
      <c r="U273" s="15"/>
      <c r="V273" s="15">
        <v>37</v>
      </c>
      <c r="W273" s="15">
        <f t="shared" si="50"/>
        <v>37</v>
      </c>
      <c r="X273" s="15"/>
      <c r="Y273" s="15">
        <f>ROUNDDOWN(W273/HLOOKUP(D273,Table!$C$3:$D$4,2,0)*8,2)</f>
        <v>0.65</v>
      </c>
      <c r="Z273" s="15"/>
      <c r="AA273" s="15"/>
      <c r="AB273" s="19"/>
      <c r="AC273" s="19">
        <v>43978</v>
      </c>
      <c r="AD273" s="19">
        <v>43984</v>
      </c>
      <c r="AE273" s="19"/>
      <c r="AF273" s="19"/>
      <c r="AG273" s="19"/>
      <c r="AH273" s="31"/>
      <c r="AI273" s="31"/>
      <c r="AJ273" s="31"/>
      <c r="AK273" s="19"/>
      <c r="AL273" s="15"/>
      <c r="AM273" s="15"/>
      <c r="AN273" s="15"/>
    </row>
    <row r="274" spans="2:40" hidden="1" x14ac:dyDescent="0.25">
      <c r="B274" s="158">
        <f t="shared" si="53"/>
        <v>215</v>
      </c>
      <c r="C274" s="16">
        <v>20200526</v>
      </c>
      <c r="D274" s="15" t="s">
        <v>3</v>
      </c>
      <c r="E274" s="15" t="s">
        <v>489</v>
      </c>
      <c r="F274" s="74" t="s">
        <v>701</v>
      </c>
      <c r="G274" s="17">
        <v>1484917</v>
      </c>
      <c r="H274" s="52"/>
      <c r="I274" s="15" t="s">
        <v>646</v>
      </c>
      <c r="J274" s="52"/>
      <c r="K274" s="15" t="s">
        <v>147</v>
      </c>
      <c r="L274" s="15" t="s">
        <v>151</v>
      </c>
      <c r="M274" s="15" t="s">
        <v>537</v>
      </c>
      <c r="N274" s="15" t="s">
        <v>538</v>
      </c>
      <c r="O274" s="17" t="s">
        <v>61</v>
      </c>
      <c r="P274" s="17" t="s">
        <v>539</v>
      </c>
      <c r="Q274" s="18"/>
      <c r="R274" s="52"/>
      <c r="S274" s="15" t="s">
        <v>65</v>
      </c>
      <c r="T274" s="15"/>
      <c r="U274" s="15"/>
      <c r="V274" s="15">
        <v>160</v>
      </c>
      <c r="W274" s="15">
        <f t="shared" si="50"/>
        <v>160</v>
      </c>
      <c r="X274" s="15"/>
      <c r="Y274" s="15">
        <f>ROUNDDOWN(W274/HLOOKUP(D274,Table!$C$3:$D$4,2,0)*8,2)</f>
        <v>2.84</v>
      </c>
      <c r="Z274" s="15"/>
      <c r="AA274" s="15"/>
      <c r="AB274" s="19"/>
      <c r="AC274" s="19">
        <v>43978</v>
      </c>
      <c r="AD274" s="19">
        <v>43984</v>
      </c>
      <c r="AE274" s="19"/>
      <c r="AF274" s="19"/>
      <c r="AG274" s="19"/>
      <c r="AH274" s="31"/>
      <c r="AI274" s="31"/>
      <c r="AJ274" s="31"/>
      <c r="AK274" s="19"/>
      <c r="AL274" s="15"/>
      <c r="AM274" s="15"/>
      <c r="AN274" s="15"/>
    </row>
    <row r="275" spans="2:40" hidden="1" x14ac:dyDescent="0.25">
      <c r="B275" s="158">
        <f t="shared" si="53"/>
        <v>216</v>
      </c>
      <c r="C275" s="16">
        <v>20200526</v>
      </c>
      <c r="D275" s="15" t="s">
        <v>3</v>
      </c>
      <c r="E275" s="15" t="s">
        <v>489</v>
      </c>
      <c r="F275" s="74" t="s">
        <v>702</v>
      </c>
      <c r="G275" s="17">
        <v>1484917</v>
      </c>
      <c r="H275" s="52"/>
      <c r="I275" s="15" t="s">
        <v>647</v>
      </c>
      <c r="J275" s="52"/>
      <c r="K275" s="15" t="s">
        <v>147</v>
      </c>
      <c r="L275" s="15" t="s">
        <v>151</v>
      </c>
      <c r="M275" s="15" t="s">
        <v>537</v>
      </c>
      <c r="N275" s="15" t="s">
        <v>538</v>
      </c>
      <c r="O275" s="17" t="s">
        <v>61</v>
      </c>
      <c r="P275" s="17" t="s">
        <v>539</v>
      </c>
      <c r="Q275" s="18"/>
      <c r="R275" s="52"/>
      <c r="S275" s="15" t="s">
        <v>65</v>
      </c>
      <c r="T275" s="15"/>
      <c r="U275" s="15"/>
      <c r="V275" s="15">
        <v>654</v>
      </c>
      <c r="W275" s="15">
        <f t="shared" si="50"/>
        <v>654</v>
      </c>
      <c r="X275" s="15">
        <f>W275</f>
        <v>654</v>
      </c>
      <c r="Y275" s="15">
        <f>ROUNDDOWN(W275/HLOOKUP(D275,Table!$C$3:$D$4,2,0)*8,2)</f>
        <v>11.62</v>
      </c>
      <c r="Z275" s="15">
        <v>1</v>
      </c>
      <c r="AA275" s="15" t="s">
        <v>18</v>
      </c>
      <c r="AB275" s="19"/>
      <c r="AC275" s="19">
        <v>43978</v>
      </c>
      <c r="AD275" s="19">
        <v>43984</v>
      </c>
      <c r="AE275" s="19">
        <v>43978</v>
      </c>
      <c r="AF275" s="19">
        <v>43978</v>
      </c>
      <c r="AG275" s="19" t="s">
        <v>177</v>
      </c>
      <c r="AH275" s="31">
        <v>1</v>
      </c>
      <c r="AI275" s="31">
        <v>1</v>
      </c>
      <c r="AJ275" s="31">
        <v>1</v>
      </c>
      <c r="AK275" s="19" t="s">
        <v>151</v>
      </c>
      <c r="AL275" s="15"/>
      <c r="AM275" s="15"/>
      <c r="AN275" s="15"/>
    </row>
    <row r="276" spans="2:40" hidden="1" x14ac:dyDescent="0.25">
      <c r="B276" s="158">
        <f t="shared" si="53"/>
        <v>217</v>
      </c>
      <c r="C276" s="16">
        <v>20200526</v>
      </c>
      <c r="D276" s="15" t="s">
        <v>3</v>
      </c>
      <c r="E276" s="15" t="s">
        <v>489</v>
      </c>
      <c r="F276" s="74" t="s">
        <v>703</v>
      </c>
      <c r="G276" s="17">
        <v>1484917</v>
      </c>
      <c r="H276" s="52"/>
      <c r="I276" s="15" t="s">
        <v>648</v>
      </c>
      <c r="J276" s="52"/>
      <c r="K276" s="15" t="s">
        <v>147</v>
      </c>
      <c r="L276" s="15" t="s">
        <v>151</v>
      </c>
      <c r="M276" s="15" t="s">
        <v>537</v>
      </c>
      <c r="N276" s="15" t="s">
        <v>538</v>
      </c>
      <c r="O276" s="17" t="s">
        <v>61</v>
      </c>
      <c r="P276" s="17" t="s">
        <v>539</v>
      </c>
      <c r="Q276" s="18"/>
      <c r="R276" s="52"/>
      <c r="S276" s="15" t="s">
        <v>65</v>
      </c>
      <c r="T276" s="15"/>
      <c r="U276" s="15"/>
      <c r="V276" s="15">
        <v>44</v>
      </c>
      <c r="W276" s="15">
        <f t="shared" si="50"/>
        <v>44</v>
      </c>
      <c r="X276" s="15">
        <f>W276</f>
        <v>44</v>
      </c>
      <c r="Y276" s="15">
        <f>ROUNDDOWN(W276/HLOOKUP(D276,Table!$C$3:$D$4,2,0)*8,2)</f>
        <v>0.78</v>
      </c>
      <c r="Z276" s="15">
        <v>0</v>
      </c>
      <c r="AA276" s="15" t="s">
        <v>18</v>
      </c>
      <c r="AB276" s="19"/>
      <c r="AC276" s="19">
        <v>43978</v>
      </c>
      <c r="AD276" s="19">
        <v>43984</v>
      </c>
      <c r="AE276" s="19">
        <v>43978</v>
      </c>
      <c r="AF276" s="19">
        <v>43978</v>
      </c>
      <c r="AG276" s="19" t="s">
        <v>177</v>
      </c>
      <c r="AH276" s="31" t="s">
        <v>61</v>
      </c>
      <c r="AI276" s="31" t="s">
        <v>61</v>
      </c>
      <c r="AJ276" s="31" t="s">
        <v>61</v>
      </c>
      <c r="AK276" s="31" t="s">
        <v>61</v>
      </c>
      <c r="AL276" s="15"/>
      <c r="AM276" s="15"/>
      <c r="AN276" s="15"/>
    </row>
    <row r="277" spans="2:40" hidden="1" x14ac:dyDescent="0.25">
      <c r="B277" s="158">
        <f t="shared" si="53"/>
        <v>218</v>
      </c>
      <c r="C277" s="16">
        <v>20200526</v>
      </c>
      <c r="D277" s="15" t="s">
        <v>3</v>
      </c>
      <c r="E277" s="15" t="s">
        <v>489</v>
      </c>
      <c r="F277" s="74" t="s">
        <v>704</v>
      </c>
      <c r="G277" s="17">
        <v>1484917</v>
      </c>
      <c r="H277" s="52"/>
      <c r="I277" s="15" t="s">
        <v>649</v>
      </c>
      <c r="J277" s="52"/>
      <c r="K277" s="15" t="s">
        <v>147</v>
      </c>
      <c r="L277" s="15" t="s">
        <v>151</v>
      </c>
      <c r="M277" s="15" t="s">
        <v>537</v>
      </c>
      <c r="N277" s="15" t="s">
        <v>538</v>
      </c>
      <c r="O277" s="17" t="s">
        <v>61</v>
      </c>
      <c r="P277" s="17" t="s">
        <v>539</v>
      </c>
      <c r="Q277" s="18"/>
      <c r="R277" s="52"/>
      <c r="S277" s="15" t="s">
        <v>65</v>
      </c>
      <c r="T277" s="15"/>
      <c r="U277" s="15"/>
      <c r="V277" s="15">
        <v>84</v>
      </c>
      <c r="W277" s="15">
        <f t="shared" si="50"/>
        <v>84</v>
      </c>
      <c r="X277" s="15"/>
      <c r="Y277" s="15">
        <f>ROUNDDOWN(W277/HLOOKUP(D277,Table!$C$3:$D$4,2,0)*8,2)</f>
        <v>1.49</v>
      </c>
      <c r="Z277" s="15"/>
      <c r="AA277" s="15"/>
      <c r="AB277" s="19"/>
      <c r="AC277" s="19">
        <v>43978</v>
      </c>
      <c r="AD277" s="19">
        <v>43984</v>
      </c>
      <c r="AE277" s="19"/>
      <c r="AF277" s="19"/>
      <c r="AG277" s="19"/>
      <c r="AH277" s="31"/>
      <c r="AI277" s="31"/>
      <c r="AJ277" s="31"/>
      <c r="AK277" s="19"/>
      <c r="AL277" s="15"/>
      <c r="AM277" s="15"/>
      <c r="AN277" s="15"/>
    </row>
    <row r="278" spans="2:40" hidden="1" x14ac:dyDescent="0.25">
      <c r="B278" s="158">
        <f t="shared" si="53"/>
        <v>219</v>
      </c>
      <c r="C278" s="16">
        <v>20200526</v>
      </c>
      <c r="D278" s="15" t="s">
        <v>3</v>
      </c>
      <c r="E278" s="15" t="s">
        <v>489</v>
      </c>
      <c r="F278" s="74" t="s">
        <v>705</v>
      </c>
      <c r="G278" s="17">
        <v>1484917</v>
      </c>
      <c r="H278" s="52"/>
      <c r="I278" s="15" t="s">
        <v>650</v>
      </c>
      <c r="J278" s="52"/>
      <c r="K278" s="15" t="s">
        <v>147</v>
      </c>
      <c r="L278" s="15" t="s">
        <v>151</v>
      </c>
      <c r="M278" s="15" t="s">
        <v>537</v>
      </c>
      <c r="N278" s="15" t="s">
        <v>538</v>
      </c>
      <c r="O278" s="17" t="s">
        <v>61</v>
      </c>
      <c r="P278" s="17" t="s">
        <v>539</v>
      </c>
      <c r="Q278" s="18"/>
      <c r="R278" s="52"/>
      <c r="S278" s="15" t="s">
        <v>65</v>
      </c>
      <c r="T278" s="15"/>
      <c r="U278" s="15"/>
      <c r="V278" s="15">
        <v>4</v>
      </c>
      <c r="W278" s="15">
        <f t="shared" si="50"/>
        <v>4</v>
      </c>
      <c r="X278" s="15">
        <f>W278</f>
        <v>4</v>
      </c>
      <c r="Y278" s="15">
        <f>ROUNDDOWN(W278/HLOOKUP(D278,Table!$C$3:$D$4,2,0)*8,2)</f>
        <v>7.0000000000000007E-2</v>
      </c>
      <c r="Z278" s="15">
        <v>0</v>
      </c>
      <c r="AA278" s="15" t="s">
        <v>18</v>
      </c>
      <c r="AB278" s="19"/>
      <c r="AC278" s="19">
        <v>43978</v>
      </c>
      <c r="AD278" s="19">
        <v>43984</v>
      </c>
      <c r="AE278" s="19">
        <v>43978</v>
      </c>
      <c r="AF278" s="19">
        <v>43978</v>
      </c>
      <c r="AG278" s="19" t="s">
        <v>177</v>
      </c>
      <c r="AH278" s="31" t="s">
        <v>61</v>
      </c>
      <c r="AI278" s="31" t="s">
        <v>61</v>
      </c>
      <c r="AJ278" s="31" t="s">
        <v>61</v>
      </c>
      <c r="AK278" s="31" t="s">
        <v>61</v>
      </c>
      <c r="AL278" s="15"/>
      <c r="AM278" s="15"/>
      <c r="AN278" s="171" t="s">
        <v>195</v>
      </c>
    </row>
    <row r="279" spans="2:40" hidden="1" x14ac:dyDescent="0.25">
      <c r="B279" s="158">
        <f t="shared" si="53"/>
        <v>220</v>
      </c>
      <c r="C279" s="16">
        <v>20200526</v>
      </c>
      <c r="D279" s="15" t="s">
        <v>3</v>
      </c>
      <c r="E279" s="15" t="s">
        <v>489</v>
      </c>
      <c r="F279" s="74" t="s">
        <v>706</v>
      </c>
      <c r="G279" s="17">
        <v>1484917</v>
      </c>
      <c r="H279" s="52"/>
      <c r="I279" s="15" t="s">
        <v>651</v>
      </c>
      <c r="J279" s="52"/>
      <c r="K279" s="15" t="s">
        <v>147</v>
      </c>
      <c r="L279" s="15" t="s">
        <v>151</v>
      </c>
      <c r="M279" s="15" t="s">
        <v>537</v>
      </c>
      <c r="N279" s="15" t="s">
        <v>538</v>
      </c>
      <c r="O279" s="17" t="s">
        <v>61</v>
      </c>
      <c r="P279" s="17" t="s">
        <v>539</v>
      </c>
      <c r="Q279" s="18"/>
      <c r="R279" s="52"/>
      <c r="S279" s="15" t="s">
        <v>65</v>
      </c>
      <c r="T279" s="15"/>
      <c r="U279" s="15"/>
      <c r="V279" s="15">
        <v>15</v>
      </c>
      <c r="W279" s="15">
        <f t="shared" si="50"/>
        <v>15</v>
      </c>
      <c r="X279" s="15">
        <f>W279</f>
        <v>15</v>
      </c>
      <c r="Y279" s="15">
        <f>ROUNDDOWN(W279/HLOOKUP(D279,Table!$C$3:$D$4,2,0)*8,2)</f>
        <v>0.26</v>
      </c>
      <c r="Z279" s="15">
        <v>0.2</v>
      </c>
      <c r="AA279" s="15" t="s">
        <v>18</v>
      </c>
      <c r="AB279" s="19"/>
      <c r="AC279" s="19">
        <v>43978</v>
      </c>
      <c r="AD279" s="19">
        <v>43984</v>
      </c>
      <c r="AE279" s="19">
        <v>43978</v>
      </c>
      <c r="AF279" s="19">
        <v>43978</v>
      </c>
      <c r="AG279" s="19" t="s">
        <v>177</v>
      </c>
      <c r="AH279" s="31">
        <v>1</v>
      </c>
      <c r="AI279" s="31">
        <v>1</v>
      </c>
      <c r="AJ279" s="31">
        <v>1</v>
      </c>
      <c r="AK279" s="19" t="s">
        <v>151</v>
      </c>
      <c r="AL279" s="15"/>
      <c r="AM279" s="15"/>
      <c r="AN279" s="15"/>
    </row>
    <row r="280" spans="2:40" hidden="1" x14ac:dyDescent="0.25">
      <c r="B280" s="158">
        <f t="shared" si="53"/>
        <v>221</v>
      </c>
      <c r="C280" s="16">
        <v>20200526</v>
      </c>
      <c r="D280" s="15" t="s">
        <v>3</v>
      </c>
      <c r="E280" s="15" t="s">
        <v>489</v>
      </c>
      <c r="F280" s="74" t="s">
        <v>707</v>
      </c>
      <c r="G280" s="17">
        <v>1484917</v>
      </c>
      <c r="H280" s="52"/>
      <c r="I280" s="15" t="s">
        <v>652</v>
      </c>
      <c r="J280" s="52"/>
      <c r="K280" s="15" t="s">
        <v>147</v>
      </c>
      <c r="L280" s="15" t="s">
        <v>151</v>
      </c>
      <c r="M280" s="15" t="s">
        <v>537</v>
      </c>
      <c r="N280" s="15" t="s">
        <v>538</v>
      </c>
      <c r="O280" s="17" t="s">
        <v>61</v>
      </c>
      <c r="P280" s="17" t="s">
        <v>539</v>
      </c>
      <c r="Q280" s="18"/>
      <c r="R280" s="52"/>
      <c r="S280" s="15" t="s">
        <v>65</v>
      </c>
      <c r="T280" s="15"/>
      <c r="U280" s="15"/>
      <c r="V280" s="15">
        <v>16</v>
      </c>
      <c r="W280" s="15">
        <f t="shared" si="50"/>
        <v>16</v>
      </c>
      <c r="X280" s="15">
        <f>W280</f>
        <v>16</v>
      </c>
      <c r="Y280" s="15">
        <f>ROUNDDOWN(W280/HLOOKUP(D280,Table!$C$3:$D$4,2,0)*8,2)</f>
        <v>0.28000000000000003</v>
      </c>
      <c r="Z280" s="15">
        <v>0.2</v>
      </c>
      <c r="AA280" s="15" t="s">
        <v>18</v>
      </c>
      <c r="AB280" s="19"/>
      <c r="AC280" s="19">
        <v>43978</v>
      </c>
      <c r="AD280" s="19">
        <v>43984</v>
      </c>
      <c r="AE280" s="19">
        <v>43979</v>
      </c>
      <c r="AF280" s="19">
        <v>43979</v>
      </c>
      <c r="AG280" s="19" t="s">
        <v>177</v>
      </c>
      <c r="AH280" s="31">
        <v>1</v>
      </c>
      <c r="AI280" s="31">
        <v>1</v>
      </c>
      <c r="AJ280" s="31">
        <v>1</v>
      </c>
      <c r="AK280" s="19" t="s">
        <v>151</v>
      </c>
      <c r="AL280" s="15"/>
      <c r="AM280" s="15"/>
      <c r="AN280" s="15"/>
    </row>
    <row r="281" spans="2:40" hidden="1" x14ac:dyDescent="0.25">
      <c r="B281" s="158">
        <f t="shared" si="53"/>
        <v>222</v>
      </c>
      <c r="C281" s="16">
        <v>20200526</v>
      </c>
      <c r="D281" s="15" t="s">
        <v>3</v>
      </c>
      <c r="E281" s="15" t="s">
        <v>489</v>
      </c>
      <c r="F281" s="74" t="s">
        <v>708</v>
      </c>
      <c r="G281" s="17">
        <v>1484917</v>
      </c>
      <c r="H281" s="52"/>
      <c r="I281" s="15" t="s">
        <v>653</v>
      </c>
      <c r="J281" s="52"/>
      <c r="K281" s="15" t="s">
        <v>147</v>
      </c>
      <c r="L281" s="15" t="s">
        <v>151</v>
      </c>
      <c r="M281" s="15" t="s">
        <v>537</v>
      </c>
      <c r="N281" s="15" t="s">
        <v>538</v>
      </c>
      <c r="O281" s="17" t="s">
        <v>61</v>
      </c>
      <c r="P281" s="17" t="s">
        <v>539</v>
      </c>
      <c r="Q281" s="18"/>
      <c r="R281" s="52"/>
      <c r="S281" s="15" t="s">
        <v>65</v>
      </c>
      <c r="T281" s="15"/>
      <c r="U281" s="15"/>
      <c r="V281" s="15">
        <v>84</v>
      </c>
      <c r="W281" s="15">
        <f t="shared" si="50"/>
        <v>84</v>
      </c>
      <c r="X281" s="15"/>
      <c r="Y281" s="15">
        <f>ROUNDDOWN(W281/HLOOKUP(D281,Table!$C$3:$D$4,2,0)*8,2)</f>
        <v>1.49</v>
      </c>
      <c r="Z281" s="15"/>
      <c r="AA281" s="15"/>
      <c r="AB281" s="19"/>
      <c r="AC281" s="19">
        <v>43978</v>
      </c>
      <c r="AD281" s="19">
        <v>43984</v>
      </c>
      <c r="AE281" s="19"/>
      <c r="AF281" s="19"/>
      <c r="AG281" s="19"/>
      <c r="AH281" s="31"/>
      <c r="AI281" s="31"/>
      <c r="AJ281" s="31"/>
      <c r="AK281" s="19"/>
      <c r="AL281" s="15"/>
      <c r="AM281" s="15"/>
      <c r="AN281" s="15"/>
    </row>
    <row r="282" spans="2:40" hidden="1" x14ac:dyDescent="0.25">
      <c r="B282" s="158">
        <f t="shared" si="53"/>
        <v>223</v>
      </c>
      <c r="C282" s="16">
        <v>20200526</v>
      </c>
      <c r="D282" s="15" t="s">
        <v>3</v>
      </c>
      <c r="E282" s="15" t="s">
        <v>489</v>
      </c>
      <c r="F282" s="74" t="s">
        <v>709</v>
      </c>
      <c r="G282" s="17">
        <v>1484917</v>
      </c>
      <c r="H282" s="52"/>
      <c r="I282" s="15" t="s">
        <v>654</v>
      </c>
      <c r="J282" s="52"/>
      <c r="K282" s="15" t="s">
        <v>147</v>
      </c>
      <c r="L282" s="15" t="s">
        <v>151</v>
      </c>
      <c r="M282" s="15" t="s">
        <v>537</v>
      </c>
      <c r="N282" s="15" t="s">
        <v>538</v>
      </c>
      <c r="O282" s="17" t="s">
        <v>61</v>
      </c>
      <c r="P282" s="17" t="s">
        <v>539</v>
      </c>
      <c r="Q282" s="18"/>
      <c r="R282" s="52"/>
      <c r="S282" s="15" t="s">
        <v>6</v>
      </c>
      <c r="T282" s="15"/>
      <c r="U282" s="15"/>
      <c r="V282" s="15">
        <v>2713</v>
      </c>
      <c r="W282" s="15">
        <f t="shared" si="50"/>
        <v>2713</v>
      </c>
      <c r="X282" s="15"/>
      <c r="Y282" s="15">
        <f>ROUNDDOWN(W282/HLOOKUP(D282,Table!$C$3:$D$4,2,0)*8,2)</f>
        <v>48.23</v>
      </c>
      <c r="Z282" s="15"/>
      <c r="AA282" s="15"/>
      <c r="AB282" s="19"/>
      <c r="AC282" s="19">
        <v>43978</v>
      </c>
      <c r="AD282" s="19">
        <v>43984</v>
      </c>
      <c r="AE282" s="19"/>
      <c r="AF282" s="19"/>
      <c r="AG282" s="19"/>
      <c r="AH282" s="31"/>
      <c r="AI282" s="31"/>
      <c r="AJ282" s="31"/>
      <c r="AK282" s="19"/>
      <c r="AL282" s="15"/>
      <c r="AM282" s="15"/>
      <c r="AN282" s="15"/>
    </row>
    <row r="283" spans="2:40" hidden="1" x14ac:dyDescent="0.25">
      <c r="B283" s="158">
        <f t="shared" si="53"/>
        <v>224</v>
      </c>
      <c r="C283" s="16">
        <v>20200526</v>
      </c>
      <c r="D283" s="15" t="s">
        <v>3</v>
      </c>
      <c r="E283" s="15" t="s">
        <v>489</v>
      </c>
      <c r="F283" s="74" t="s">
        <v>710</v>
      </c>
      <c r="G283" s="17">
        <v>1484917</v>
      </c>
      <c r="H283" s="52"/>
      <c r="I283" s="15" t="s">
        <v>655</v>
      </c>
      <c r="J283" s="52"/>
      <c r="K283" s="15" t="s">
        <v>147</v>
      </c>
      <c r="L283" s="15" t="s">
        <v>151</v>
      </c>
      <c r="M283" s="15" t="s">
        <v>537</v>
      </c>
      <c r="N283" s="15" t="s">
        <v>538</v>
      </c>
      <c r="O283" s="17" t="s">
        <v>61</v>
      </c>
      <c r="P283" s="17" t="s">
        <v>539</v>
      </c>
      <c r="Q283" s="18"/>
      <c r="R283" s="52"/>
      <c r="S283" s="15" t="s">
        <v>64</v>
      </c>
      <c r="T283" s="15"/>
      <c r="U283" s="15"/>
      <c r="V283" s="15">
        <v>891</v>
      </c>
      <c r="W283" s="15">
        <f t="shared" si="50"/>
        <v>891</v>
      </c>
      <c r="X283" s="15">
        <f t="shared" ref="X283:X290" si="54">W283</f>
        <v>891</v>
      </c>
      <c r="Y283" s="15">
        <f>ROUNDDOWN(W283/HLOOKUP(D283,Table!$C$3:$D$4,2,0)*8,2)</f>
        <v>15.84</v>
      </c>
      <c r="Z283" s="15">
        <v>2</v>
      </c>
      <c r="AA283" s="15" t="s">
        <v>18</v>
      </c>
      <c r="AB283" s="19"/>
      <c r="AC283" s="19">
        <v>43978</v>
      </c>
      <c r="AD283" s="19">
        <v>43984</v>
      </c>
      <c r="AE283" s="19">
        <v>43978</v>
      </c>
      <c r="AF283" s="19">
        <v>43978</v>
      </c>
      <c r="AG283" s="19" t="s">
        <v>177</v>
      </c>
      <c r="AH283" s="31">
        <v>1</v>
      </c>
      <c r="AI283" s="31">
        <v>1</v>
      </c>
      <c r="AJ283" s="31">
        <v>1</v>
      </c>
      <c r="AK283" s="19" t="s">
        <v>151</v>
      </c>
      <c r="AL283" s="15"/>
      <c r="AM283" s="15"/>
      <c r="AN283" s="15"/>
    </row>
    <row r="284" spans="2:40" hidden="1" x14ac:dyDescent="0.25">
      <c r="B284" s="158">
        <f t="shared" si="53"/>
        <v>225</v>
      </c>
      <c r="C284" s="16">
        <v>20200526</v>
      </c>
      <c r="D284" s="15" t="s">
        <v>3</v>
      </c>
      <c r="E284" s="15" t="s">
        <v>489</v>
      </c>
      <c r="F284" s="74" t="s">
        <v>711</v>
      </c>
      <c r="G284" s="17">
        <v>1484917</v>
      </c>
      <c r="H284" s="52"/>
      <c r="I284" s="15" t="s">
        <v>656</v>
      </c>
      <c r="J284" s="52"/>
      <c r="K284" s="15" t="s">
        <v>147</v>
      </c>
      <c r="L284" s="15" t="s">
        <v>151</v>
      </c>
      <c r="M284" s="15" t="s">
        <v>537</v>
      </c>
      <c r="N284" s="15" t="s">
        <v>538</v>
      </c>
      <c r="O284" s="17" t="s">
        <v>61</v>
      </c>
      <c r="P284" s="17" t="s">
        <v>539</v>
      </c>
      <c r="Q284" s="18"/>
      <c r="R284" s="52"/>
      <c r="S284" s="15" t="s">
        <v>64</v>
      </c>
      <c r="T284" s="15"/>
      <c r="U284" s="15"/>
      <c r="V284" s="15">
        <v>6</v>
      </c>
      <c r="W284" s="15">
        <f t="shared" si="50"/>
        <v>6</v>
      </c>
      <c r="X284" s="15">
        <f t="shared" si="54"/>
        <v>6</v>
      </c>
      <c r="Y284" s="15">
        <f>ROUNDDOWN(W284/HLOOKUP(D284,Table!$C$3:$D$4,2,0)*8,2)</f>
        <v>0.1</v>
      </c>
      <c r="Z284" s="15">
        <v>0.5</v>
      </c>
      <c r="AA284" s="15" t="s">
        <v>18</v>
      </c>
      <c r="AB284" s="19"/>
      <c r="AC284" s="19">
        <v>43978</v>
      </c>
      <c r="AD284" s="19">
        <v>43984</v>
      </c>
      <c r="AE284" s="19">
        <v>43978</v>
      </c>
      <c r="AF284" s="19">
        <v>43978</v>
      </c>
      <c r="AG284" s="19" t="s">
        <v>177</v>
      </c>
      <c r="AH284" s="31">
        <v>1</v>
      </c>
      <c r="AI284" s="31">
        <v>1</v>
      </c>
      <c r="AJ284" s="31">
        <v>1</v>
      </c>
      <c r="AK284" s="19" t="s">
        <v>151</v>
      </c>
      <c r="AL284" s="15"/>
      <c r="AM284" s="15"/>
      <c r="AN284" s="15"/>
    </row>
    <row r="285" spans="2:40" hidden="1" x14ac:dyDescent="0.25">
      <c r="B285" s="158">
        <f t="shared" si="53"/>
        <v>226</v>
      </c>
      <c r="C285" s="16">
        <v>20200526</v>
      </c>
      <c r="D285" s="15" t="s">
        <v>3</v>
      </c>
      <c r="E285" s="15" t="s">
        <v>489</v>
      </c>
      <c r="F285" s="74" t="s">
        <v>712</v>
      </c>
      <c r="G285" s="17">
        <v>1484917</v>
      </c>
      <c r="H285" s="52"/>
      <c r="I285" s="15" t="s">
        <v>657</v>
      </c>
      <c r="J285" s="52"/>
      <c r="K285" s="15" t="s">
        <v>147</v>
      </c>
      <c r="L285" s="15" t="s">
        <v>151</v>
      </c>
      <c r="M285" s="15" t="s">
        <v>537</v>
      </c>
      <c r="N285" s="15" t="s">
        <v>538</v>
      </c>
      <c r="O285" s="17" t="s">
        <v>61</v>
      </c>
      <c r="P285" s="17" t="s">
        <v>539</v>
      </c>
      <c r="Q285" s="18"/>
      <c r="R285" s="52"/>
      <c r="S285" s="15" t="s">
        <v>64</v>
      </c>
      <c r="T285" s="15"/>
      <c r="U285" s="15"/>
      <c r="V285" s="15">
        <v>7</v>
      </c>
      <c r="W285" s="15">
        <f t="shared" si="50"/>
        <v>7</v>
      </c>
      <c r="X285" s="15">
        <f t="shared" si="54"/>
        <v>7</v>
      </c>
      <c r="Y285" s="15">
        <f>ROUNDDOWN(W285/HLOOKUP(D285,Table!$C$3:$D$4,2,0)*8,2)</f>
        <v>0.12</v>
      </c>
      <c r="Z285" s="15">
        <v>0.5</v>
      </c>
      <c r="AA285" s="15" t="s">
        <v>18</v>
      </c>
      <c r="AB285" s="19"/>
      <c r="AC285" s="19">
        <v>43978</v>
      </c>
      <c r="AD285" s="19">
        <v>43984</v>
      </c>
      <c r="AE285" s="19">
        <v>43978</v>
      </c>
      <c r="AF285" s="19">
        <v>43978</v>
      </c>
      <c r="AG285" s="19" t="s">
        <v>177</v>
      </c>
      <c r="AH285" s="31">
        <v>1</v>
      </c>
      <c r="AI285" s="31">
        <v>1</v>
      </c>
      <c r="AJ285" s="31">
        <v>1</v>
      </c>
      <c r="AK285" s="19" t="s">
        <v>151</v>
      </c>
      <c r="AL285" s="15"/>
      <c r="AM285" s="15"/>
      <c r="AN285" s="15"/>
    </row>
    <row r="286" spans="2:40" hidden="1" x14ac:dyDescent="0.25">
      <c r="B286" s="158">
        <f t="shared" si="53"/>
        <v>227</v>
      </c>
      <c r="C286" s="16">
        <v>20200526</v>
      </c>
      <c r="D286" s="15" t="s">
        <v>3</v>
      </c>
      <c r="E286" s="15" t="s">
        <v>489</v>
      </c>
      <c r="F286" s="74" t="s">
        <v>713</v>
      </c>
      <c r="G286" s="17">
        <v>1484917</v>
      </c>
      <c r="H286" s="52"/>
      <c r="I286" s="15" t="s">
        <v>658</v>
      </c>
      <c r="J286" s="52"/>
      <c r="K286" s="15" t="s">
        <v>147</v>
      </c>
      <c r="L286" s="15" t="s">
        <v>151</v>
      </c>
      <c r="M286" s="15" t="s">
        <v>537</v>
      </c>
      <c r="N286" s="15" t="s">
        <v>538</v>
      </c>
      <c r="O286" s="17" t="s">
        <v>61</v>
      </c>
      <c r="P286" s="17" t="s">
        <v>539</v>
      </c>
      <c r="Q286" s="18"/>
      <c r="R286" s="52"/>
      <c r="S286" s="15" t="s">
        <v>64</v>
      </c>
      <c r="T286" s="15"/>
      <c r="U286" s="15"/>
      <c r="V286" s="15">
        <v>13</v>
      </c>
      <c r="W286" s="15">
        <f t="shared" si="50"/>
        <v>13</v>
      </c>
      <c r="X286" s="15">
        <f t="shared" si="54"/>
        <v>13</v>
      </c>
      <c r="Y286" s="15">
        <f>ROUNDDOWN(W286/HLOOKUP(D286,Table!$C$3:$D$4,2,0)*8,2)</f>
        <v>0.23</v>
      </c>
      <c r="Z286" s="15">
        <v>0.5</v>
      </c>
      <c r="AA286" s="15" t="s">
        <v>18</v>
      </c>
      <c r="AB286" s="19"/>
      <c r="AC286" s="19">
        <v>43978</v>
      </c>
      <c r="AD286" s="19">
        <v>43984</v>
      </c>
      <c r="AE286" s="19">
        <v>43978</v>
      </c>
      <c r="AF286" s="19">
        <v>43978</v>
      </c>
      <c r="AG286" s="19" t="s">
        <v>177</v>
      </c>
      <c r="AH286" s="31">
        <v>1</v>
      </c>
      <c r="AI286" s="31">
        <v>1</v>
      </c>
      <c r="AJ286" s="31">
        <v>1</v>
      </c>
      <c r="AK286" s="19" t="s">
        <v>151</v>
      </c>
      <c r="AL286" s="15"/>
      <c r="AM286" s="15"/>
      <c r="AN286" s="15"/>
    </row>
    <row r="287" spans="2:40" hidden="1" x14ac:dyDescent="0.25">
      <c r="B287" s="158">
        <f t="shared" si="53"/>
        <v>228</v>
      </c>
      <c r="C287" s="16">
        <v>20200526</v>
      </c>
      <c r="D287" s="15" t="s">
        <v>3</v>
      </c>
      <c r="E287" s="15" t="s">
        <v>631</v>
      </c>
      <c r="F287" s="74" t="s">
        <v>714</v>
      </c>
      <c r="G287" s="17">
        <v>1487171</v>
      </c>
      <c r="H287" s="52"/>
      <c r="I287" s="15" t="s">
        <v>659</v>
      </c>
      <c r="J287" s="52"/>
      <c r="K287" s="15" t="s">
        <v>147</v>
      </c>
      <c r="L287" s="15" t="s">
        <v>151</v>
      </c>
      <c r="M287" s="15" t="s">
        <v>409</v>
      </c>
      <c r="N287" s="15" t="s">
        <v>415</v>
      </c>
      <c r="O287" s="17" t="s">
        <v>61</v>
      </c>
      <c r="P287" s="17" t="s">
        <v>232</v>
      </c>
      <c r="Q287" s="18"/>
      <c r="R287" s="52"/>
      <c r="S287" s="15" t="s">
        <v>64</v>
      </c>
      <c r="T287" s="15"/>
      <c r="U287" s="15"/>
      <c r="V287" s="15">
        <v>59</v>
      </c>
      <c r="W287" s="15">
        <f t="shared" si="50"/>
        <v>59</v>
      </c>
      <c r="X287" s="15">
        <f t="shared" si="54"/>
        <v>59</v>
      </c>
      <c r="Y287" s="15">
        <f>ROUNDDOWN(W287/HLOOKUP(D287,Table!$C$3:$D$4,2,0)*8,2)</f>
        <v>1.04</v>
      </c>
      <c r="Z287" s="15">
        <v>1</v>
      </c>
      <c r="AA287" s="15" t="s">
        <v>21</v>
      </c>
      <c r="AB287" s="19">
        <v>43978</v>
      </c>
      <c r="AC287" s="19">
        <v>43978</v>
      </c>
      <c r="AD287" s="102">
        <v>43979</v>
      </c>
      <c r="AE287" s="19">
        <v>43978</v>
      </c>
      <c r="AF287" s="19">
        <v>43978</v>
      </c>
      <c r="AG287" s="19" t="s">
        <v>177</v>
      </c>
      <c r="AH287" s="31">
        <v>1</v>
      </c>
      <c r="AI287" s="31">
        <v>1</v>
      </c>
      <c r="AJ287" s="31">
        <v>1</v>
      </c>
      <c r="AK287" s="19" t="s">
        <v>151</v>
      </c>
      <c r="AL287" s="15"/>
      <c r="AM287" s="15"/>
      <c r="AN287" s="15"/>
    </row>
    <row r="288" spans="2:40" hidden="1" x14ac:dyDescent="0.25">
      <c r="B288" s="158">
        <f t="shared" si="53"/>
        <v>229</v>
      </c>
      <c r="C288" s="16">
        <v>20200526</v>
      </c>
      <c r="D288" s="15" t="s">
        <v>3</v>
      </c>
      <c r="E288" s="15" t="s">
        <v>631</v>
      </c>
      <c r="F288" s="74" t="s">
        <v>715</v>
      </c>
      <c r="G288" s="17">
        <v>1487171</v>
      </c>
      <c r="H288" s="52"/>
      <c r="I288" s="15" t="s">
        <v>660</v>
      </c>
      <c r="J288" s="52"/>
      <c r="K288" s="15" t="s">
        <v>147</v>
      </c>
      <c r="L288" s="15" t="s">
        <v>151</v>
      </c>
      <c r="M288" s="15" t="s">
        <v>409</v>
      </c>
      <c r="N288" s="15" t="s">
        <v>415</v>
      </c>
      <c r="O288" s="17" t="s">
        <v>61</v>
      </c>
      <c r="P288" s="17" t="s">
        <v>232</v>
      </c>
      <c r="Q288" s="18"/>
      <c r="R288" s="52"/>
      <c r="S288" s="15" t="s">
        <v>64</v>
      </c>
      <c r="T288" s="15"/>
      <c r="U288" s="15"/>
      <c r="V288" s="15">
        <v>295</v>
      </c>
      <c r="W288" s="15">
        <f t="shared" si="50"/>
        <v>295</v>
      </c>
      <c r="X288" s="15">
        <f t="shared" si="54"/>
        <v>295</v>
      </c>
      <c r="Y288" s="15">
        <f>ROUNDDOWN(W288/HLOOKUP(D288,Table!$C$3:$D$4,2,0)*8,2)</f>
        <v>5.24</v>
      </c>
      <c r="Z288" s="15">
        <v>1</v>
      </c>
      <c r="AA288" s="15" t="s">
        <v>21</v>
      </c>
      <c r="AB288" s="19">
        <v>43978</v>
      </c>
      <c r="AC288" s="19">
        <v>43978</v>
      </c>
      <c r="AD288" s="102">
        <v>43979</v>
      </c>
      <c r="AE288" s="19">
        <v>43978</v>
      </c>
      <c r="AF288" s="19">
        <v>43978</v>
      </c>
      <c r="AG288" s="19" t="s">
        <v>177</v>
      </c>
      <c r="AH288" s="31">
        <v>1</v>
      </c>
      <c r="AI288" s="31">
        <v>1</v>
      </c>
      <c r="AJ288" s="31">
        <v>1</v>
      </c>
      <c r="AK288" s="19" t="s">
        <v>151</v>
      </c>
      <c r="AL288" s="15"/>
      <c r="AM288" s="15"/>
      <c r="AN288" s="15"/>
    </row>
    <row r="289" spans="2:40" hidden="1" x14ac:dyDescent="0.25">
      <c r="B289" s="158">
        <f t="shared" si="53"/>
        <v>230</v>
      </c>
      <c r="C289" s="16">
        <v>20200526</v>
      </c>
      <c r="D289" s="15" t="s">
        <v>3</v>
      </c>
      <c r="E289" s="15" t="s">
        <v>449</v>
      </c>
      <c r="F289" s="74" t="s">
        <v>716</v>
      </c>
      <c r="G289" s="17">
        <v>1487218</v>
      </c>
      <c r="H289" s="52"/>
      <c r="I289" s="15" t="s">
        <v>661</v>
      </c>
      <c r="J289" s="52"/>
      <c r="K289" s="15" t="s">
        <v>147</v>
      </c>
      <c r="L289" s="15" t="s">
        <v>151</v>
      </c>
      <c r="M289" s="15" t="s">
        <v>632</v>
      </c>
      <c r="N289" s="15" t="s">
        <v>231</v>
      </c>
      <c r="O289" s="17" t="s">
        <v>61</v>
      </c>
      <c r="P289" s="17" t="s">
        <v>457</v>
      </c>
      <c r="Q289" s="18"/>
      <c r="R289" s="52"/>
      <c r="S289" s="15" t="s">
        <v>64</v>
      </c>
      <c r="T289" s="15"/>
      <c r="U289" s="15"/>
      <c r="V289" s="15">
        <v>23</v>
      </c>
      <c r="W289" s="15">
        <f t="shared" si="50"/>
        <v>23</v>
      </c>
      <c r="X289" s="15">
        <f t="shared" si="54"/>
        <v>23</v>
      </c>
      <c r="Y289" s="15">
        <f>ROUNDDOWN(W289/HLOOKUP(D289,Table!$C$3:$D$4,2,0)*8,2)</f>
        <v>0.4</v>
      </c>
      <c r="Z289" s="15">
        <v>1</v>
      </c>
      <c r="AA289" s="15" t="s">
        <v>21</v>
      </c>
      <c r="AB289" s="19">
        <v>43978</v>
      </c>
      <c r="AC289" s="19">
        <v>43978</v>
      </c>
      <c r="AD289" s="102">
        <v>43979</v>
      </c>
      <c r="AE289" s="19">
        <v>43978</v>
      </c>
      <c r="AF289" s="19">
        <v>43978</v>
      </c>
      <c r="AG289" s="19" t="s">
        <v>177</v>
      </c>
      <c r="AH289" s="31">
        <v>1</v>
      </c>
      <c r="AI289" s="31">
        <v>1</v>
      </c>
      <c r="AJ289" s="31">
        <v>1</v>
      </c>
      <c r="AK289" s="19" t="s">
        <v>151</v>
      </c>
      <c r="AL289" s="15"/>
      <c r="AM289" s="15"/>
      <c r="AN289" s="15"/>
    </row>
    <row r="290" spans="2:40" hidden="1" x14ac:dyDescent="0.25">
      <c r="B290" s="158">
        <f t="shared" si="53"/>
        <v>231</v>
      </c>
      <c r="C290" s="16">
        <v>20200526</v>
      </c>
      <c r="D290" s="15" t="s">
        <v>3</v>
      </c>
      <c r="E290" s="15" t="s">
        <v>449</v>
      </c>
      <c r="F290" s="74" t="s">
        <v>541</v>
      </c>
      <c r="G290" s="17">
        <v>1488033</v>
      </c>
      <c r="H290" s="52"/>
      <c r="I290" s="15" t="s">
        <v>229</v>
      </c>
      <c r="J290" s="52"/>
      <c r="K290" s="15" t="s">
        <v>147</v>
      </c>
      <c r="L290" s="15" t="s">
        <v>151</v>
      </c>
      <c r="M290" s="15" t="s">
        <v>632</v>
      </c>
      <c r="N290" s="15" t="s">
        <v>231</v>
      </c>
      <c r="O290" s="17" t="s">
        <v>61</v>
      </c>
      <c r="P290" s="17" t="s">
        <v>232</v>
      </c>
      <c r="Q290" s="18"/>
      <c r="R290" s="52"/>
      <c r="S290" s="15" t="s">
        <v>64</v>
      </c>
      <c r="T290" s="15"/>
      <c r="U290" s="15"/>
      <c r="V290" s="15">
        <v>109</v>
      </c>
      <c r="W290" s="15">
        <f t="shared" si="50"/>
        <v>109</v>
      </c>
      <c r="X290" s="15">
        <f t="shared" si="54"/>
        <v>109</v>
      </c>
      <c r="Y290" s="15">
        <f>ROUNDDOWN(W290/HLOOKUP(D290,Table!$C$3:$D$4,2,0)*8,2)</f>
        <v>1.93</v>
      </c>
      <c r="Z290" s="15">
        <v>1</v>
      </c>
      <c r="AA290" s="15" t="s">
        <v>21</v>
      </c>
      <c r="AB290" s="19">
        <v>43978</v>
      </c>
      <c r="AC290" s="19">
        <v>43978</v>
      </c>
      <c r="AD290" s="102">
        <v>43979</v>
      </c>
      <c r="AE290" s="19">
        <v>43978</v>
      </c>
      <c r="AF290" s="19">
        <v>43978</v>
      </c>
      <c r="AG290" s="19" t="s">
        <v>177</v>
      </c>
      <c r="AH290" s="31">
        <v>1</v>
      </c>
      <c r="AI290" s="31">
        <v>1</v>
      </c>
      <c r="AJ290" s="31">
        <v>1</v>
      </c>
      <c r="AK290" s="19" t="s">
        <v>151</v>
      </c>
      <c r="AL290" s="15"/>
      <c r="AM290" s="15"/>
      <c r="AN290" s="15"/>
    </row>
    <row r="291" spans="2:40" hidden="1" x14ac:dyDescent="0.25">
      <c r="B291" s="94">
        <f t="shared" si="53"/>
        <v>232</v>
      </c>
      <c r="C291" s="16">
        <v>20200528</v>
      </c>
      <c r="D291" s="15" t="s">
        <v>2</v>
      </c>
      <c r="E291" s="15" t="s">
        <v>726</v>
      </c>
      <c r="F291" s="17" t="s">
        <v>61</v>
      </c>
      <c r="G291" s="17">
        <v>1491355</v>
      </c>
      <c r="H291" s="52" t="s">
        <v>61</v>
      </c>
      <c r="I291" s="15" t="s">
        <v>728</v>
      </c>
      <c r="J291" s="52" t="s">
        <v>61</v>
      </c>
      <c r="K291" s="15" t="s">
        <v>185</v>
      </c>
      <c r="L291" s="15" t="s">
        <v>151</v>
      </c>
      <c r="M291" s="15" t="s">
        <v>625</v>
      </c>
      <c r="N291" s="15" t="s">
        <v>728</v>
      </c>
      <c r="O291" s="17" t="s">
        <v>730</v>
      </c>
      <c r="P291" s="17" t="s">
        <v>732</v>
      </c>
      <c r="Q291" s="18"/>
      <c r="R291" s="52"/>
      <c r="S291" s="15" t="s">
        <v>64</v>
      </c>
      <c r="T291" s="15"/>
      <c r="U291" s="15"/>
      <c r="V291" s="15">
        <v>16</v>
      </c>
      <c r="W291" s="15">
        <f t="shared" si="50"/>
        <v>16</v>
      </c>
      <c r="X291" s="15"/>
      <c r="Y291" s="15">
        <f>ROUNDDOWN(W291/HLOOKUP(D291,Table!$C$3:$D$4,2,0)*8,2)</f>
        <v>0.98</v>
      </c>
      <c r="Z291" s="15"/>
      <c r="AA291" s="15"/>
      <c r="AB291" s="19"/>
      <c r="AC291" s="19">
        <v>43979</v>
      </c>
      <c r="AD291" s="19">
        <v>43980</v>
      </c>
      <c r="AE291" s="19"/>
      <c r="AF291" s="19"/>
      <c r="AG291" s="19"/>
      <c r="AH291" s="31"/>
      <c r="AI291" s="31"/>
      <c r="AJ291" s="31"/>
      <c r="AK291" s="19"/>
      <c r="AL291" s="15"/>
      <c r="AM291" s="15"/>
      <c r="AN291" s="15"/>
    </row>
    <row r="292" spans="2:40" hidden="1" x14ac:dyDescent="0.25">
      <c r="B292" s="94">
        <f t="shared" si="53"/>
        <v>233</v>
      </c>
      <c r="C292" s="16">
        <v>20200528</v>
      </c>
      <c r="D292" s="15" t="s">
        <v>2</v>
      </c>
      <c r="E292" s="15" t="s">
        <v>726</v>
      </c>
      <c r="F292" s="17" t="s">
        <v>61</v>
      </c>
      <c r="G292" s="17">
        <v>1491355</v>
      </c>
      <c r="H292" s="52" t="s">
        <v>61</v>
      </c>
      <c r="I292" s="15" t="s">
        <v>729</v>
      </c>
      <c r="J292" s="52" t="s">
        <v>61</v>
      </c>
      <c r="K292" s="15" t="s">
        <v>185</v>
      </c>
      <c r="L292" s="15" t="s">
        <v>151</v>
      </c>
      <c r="M292" s="15" t="s">
        <v>625</v>
      </c>
      <c r="N292" s="15" t="s">
        <v>729</v>
      </c>
      <c r="O292" s="17" t="s">
        <v>731</v>
      </c>
      <c r="P292" s="17" t="s">
        <v>732</v>
      </c>
      <c r="Q292" s="18"/>
      <c r="R292" s="52"/>
      <c r="S292" s="15" t="s">
        <v>64</v>
      </c>
      <c r="T292" s="15"/>
      <c r="U292" s="15"/>
      <c r="V292" s="15">
        <v>49</v>
      </c>
      <c r="W292" s="15">
        <f t="shared" si="50"/>
        <v>49</v>
      </c>
      <c r="X292" s="15">
        <f>W292</f>
        <v>49</v>
      </c>
      <c r="Y292" s="15">
        <f>ROUNDDOWN(W292/HLOOKUP(D292,Table!$C$3:$D$4,2,0)*8,2)</f>
        <v>3.01</v>
      </c>
      <c r="Z292" s="15">
        <v>3</v>
      </c>
      <c r="AA292" s="15" t="s">
        <v>18</v>
      </c>
      <c r="AB292" s="19"/>
      <c r="AC292" s="19">
        <v>43979</v>
      </c>
      <c r="AD292" s="19">
        <v>43980</v>
      </c>
      <c r="AE292" s="19">
        <v>43979</v>
      </c>
      <c r="AF292" s="19">
        <v>43979</v>
      </c>
      <c r="AG292" s="19" t="s">
        <v>177</v>
      </c>
      <c r="AH292" s="31">
        <v>1</v>
      </c>
      <c r="AI292" s="31">
        <v>1</v>
      </c>
      <c r="AJ292" s="31">
        <v>1</v>
      </c>
      <c r="AK292" s="19" t="s">
        <v>151</v>
      </c>
      <c r="AL292" s="15"/>
      <c r="AM292" s="15"/>
      <c r="AN292" s="15"/>
    </row>
    <row r="293" spans="2:40" hidden="1" x14ac:dyDescent="0.25">
      <c r="B293" s="94">
        <f t="shared" si="53"/>
        <v>234</v>
      </c>
      <c r="C293" s="16">
        <v>20200528</v>
      </c>
      <c r="D293" s="15" t="s">
        <v>3</v>
      </c>
      <c r="E293" s="15" t="s">
        <v>611</v>
      </c>
      <c r="F293" s="17" t="s">
        <v>727</v>
      </c>
      <c r="G293" s="17">
        <v>1492051</v>
      </c>
      <c r="H293" s="52" t="s">
        <v>61</v>
      </c>
      <c r="I293" s="15" t="s">
        <v>202</v>
      </c>
      <c r="J293" s="52" t="s">
        <v>61</v>
      </c>
      <c r="K293" s="15" t="s">
        <v>147</v>
      </c>
      <c r="L293" s="15" t="s">
        <v>624</v>
      </c>
      <c r="M293" s="15" t="s">
        <v>626</v>
      </c>
      <c r="N293" s="15" t="s">
        <v>437</v>
      </c>
      <c r="O293" s="17" t="s">
        <v>61</v>
      </c>
      <c r="P293" s="17" t="s">
        <v>210</v>
      </c>
      <c r="Q293" s="18"/>
      <c r="R293" s="52"/>
      <c r="S293" s="15" t="s">
        <v>64</v>
      </c>
      <c r="T293" s="15"/>
      <c r="U293" s="15"/>
      <c r="V293" s="15">
        <v>261</v>
      </c>
      <c r="W293" s="15">
        <f t="shared" si="50"/>
        <v>261</v>
      </c>
      <c r="X293" s="15"/>
      <c r="Y293" s="15">
        <f>ROUNDDOWN(W293/HLOOKUP(D293,Table!$C$3:$D$4,2,0)*8,2)</f>
        <v>4.6399999999999997</v>
      </c>
      <c r="Z293" s="15"/>
      <c r="AA293" s="15"/>
      <c r="AB293" s="19"/>
      <c r="AC293" s="19">
        <v>43979</v>
      </c>
      <c r="AD293" s="19">
        <v>43980</v>
      </c>
      <c r="AE293" s="19"/>
      <c r="AF293" s="19"/>
      <c r="AG293" s="19"/>
      <c r="AH293" s="31"/>
      <c r="AI293" s="31"/>
      <c r="AJ293" s="31"/>
      <c r="AK293" s="19"/>
      <c r="AL293" s="15"/>
      <c r="AM293" s="15"/>
      <c r="AN293" s="15"/>
    </row>
    <row r="294" spans="2:40" hidden="1" x14ac:dyDescent="0.25">
      <c r="B294" s="20"/>
      <c r="C294" s="16"/>
      <c r="D294" s="15"/>
      <c r="E294" s="15"/>
      <c r="F294" s="17"/>
      <c r="G294" s="17"/>
      <c r="H294" s="52" t="s">
        <v>61</v>
      </c>
      <c r="I294" s="15"/>
      <c r="J294" s="52" t="s">
        <v>61</v>
      </c>
      <c r="K294" s="15"/>
      <c r="L294" s="15"/>
      <c r="M294" s="15"/>
      <c r="N294" s="15"/>
      <c r="O294" s="17"/>
      <c r="P294" s="17"/>
      <c r="Q294" s="18"/>
      <c r="R294" s="52"/>
      <c r="S294" s="15"/>
      <c r="T294" s="15"/>
      <c r="U294" s="15"/>
      <c r="V294" s="15"/>
      <c r="W294" s="15"/>
      <c r="X294" s="15"/>
      <c r="Y294" s="15"/>
      <c r="Z294" s="15"/>
      <c r="AA294" s="15"/>
      <c r="AB294" s="19"/>
      <c r="AC294" s="19"/>
      <c r="AD294" s="19"/>
      <c r="AE294" s="19"/>
      <c r="AF294" s="19"/>
      <c r="AG294" s="19"/>
      <c r="AH294" s="31"/>
      <c r="AI294" s="31"/>
      <c r="AJ294" s="31"/>
      <c r="AK294" s="19"/>
      <c r="AL294" s="15"/>
      <c r="AM294" s="15"/>
      <c r="AN294" s="15"/>
    </row>
    <row r="295" spans="2:40" hidden="1" x14ac:dyDescent="0.25">
      <c r="B295" s="20"/>
      <c r="C295" s="16"/>
      <c r="D295" s="15"/>
      <c r="E295" s="15"/>
      <c r="F295" s="17"/>
      <c r="G295" s="17"/>
      <c r="H295" s="52" t="s">
        <v>61</v>
      </c>
      <c r="I295" s="15"/>
      <c r="J295" s="52" t="s">
        <v>61</v>
      </c>
      <c r="K295" s="15"/>
      <c r="L295" s="15"/>
      <c r="M295" s="15"/>
      <c r="N295" s="15"/>
      <c r="O295" s="17"/>
      <c r="P295" s="17"/>
      <c r="Q295" s="18"/>
      <c r="R295" s="52"/>
      <c r="S295" s="15"/>
      <c r="T295" s="15"/>
      <c r="U295" s="15"/>
      <c r="V295" s="15"/>
      <c r="W295" s="15"/>
      <c r="X295" s="15"/>
      <c r="Y295" s="15"/>
      <c r="Z295" s="15"/>
      <c r="AA295" s="15"/>
      <c r="AB295" s="19"/>
      <c r="AC295" s="19"/>
      <c r="AD295" s="19"/>
      <c r="AE295" s="19"/>
      <c r="AF295" s="19"/>
      <c r="AG295" s="19"/>
      <c r="AH295" s="31"/>
      <c r="AI295" s="31"/>
      <c r="AJ295" s="31"/>
      <c r="AK295" s="19"/>
      <c r="AL295" s="15"/>
      <c r="AM295" s="15"/>
      <c r="AN295" s="15"/>
    </row>
    <row r="296" spans="2:40" hidden="1" x14ac:dyDescent="0.25">
      <c r="B296" s="20"/>
      <c r="C296" s="16"/>
      <c r="D296" s="15"/>
      <c r="E296" s="15"/>
      <c r="F296" s="17"/>
      <c r="G296" s="17"/>
      <c r="H296" s="52" t="s">
        <v>61</v>
      </c>
      <c r="I296" s="15"/>
      <c r="J296" s="52" t="s">
        <v>61</v>
      </c>
      <c r="K296" s="15"/>
      <c r="L296" s="15"/>
      <c r="M296" s="15"/>
      <c r="N296" s="15"/>
      <c r="O296" s="17"/>
      <c r="P296" s="17"/>
      <c r="Q296" s="18"/>
      <c r="R296" s="52"/>
      <c r="S296" s="15"/>
      <c r="T296" s="15"/>
      <c r="U296" s="15"/>
      <c r="V296" s="15"/>
      <c r="W296" s="15"/>
      <c r="X296" s="15"/>
      <c r="Y296" s="15"/>
      <c r="Z296" s="15"/>
      <c r="AA296" s="15"/>
      <c r="AB296" s="19"/>
      <c r="AC296" s="19"/>
      <c r="AD296" s="19"/>
      <c r="AE296" s="19"/>
      <c r="AF296" s="19"/>
      <c r="AG296" s="19"/>
      <c r="AH296" s="31"/>
      <c r="AI296" s="31"/>
      <c r="AJ296" s="31"/>
      <c r="AK296" s="19"/>
      <c r="AL296" s="15"/>
      <c r="AM296" s="15"/>
      <c r="AN296" s="15"/>
    </row>
    <row r="297" spans="2:40" hidden="1" x14ac:dyDescent="0.25">
      <c r="B297" s="20"/>
      <c r="C297" s="16"/>
      <c r="D297" s="15"/>
      <c r="E297" s="15"/>
      <c r="F297" s="17"/>
      <c r="G297" s="17"/>
      <c r="H297" s="52" t="s">
        <v>61</v>
      </c>
      <c r="I297" s="15"/>
      <c r="J297" s="52" t="s">
        <v>61</v>
      </c>
      <c r="K297" s="15"/>
      <c r="L297" s="15"/>
      <c r="M297" s="15"/>
      <c r="N297" s="15"/>
      <c r="O297" s="17"/>
      <c r="P297" s="17"/>
      <c r="Q297" s="18"/>
      <c r="R297" s="52"/>
      <c r="S297" s="15"/>
      <c r="T297" s="15"/>
      <c r="U297" s="15"/>
      <c r="V297" s="15"/>
      <c r="W297" s="15"/>
      <c r="X297" s="15"/>
      <c r="Y297" s="15"/>
      <c r="Z297" s="15"/>
      <c r="AA297" s="15"/>
      <c r="AB297" s="19"/>
      <c r="AC297" s="19"/>
      <c r="AD297" s="19"/>
      <c r="AE297" s="19"/>
      <c r="AF297" s="19"/>
      <c r="AG297" s="19"/>
      <c r="AH297" s="31"/>
      <c r="AI297" s="31"/>
      <c r="AJ297" s="31"/>
      <c r="AK297" s="19"/>
      <c r="AL297" s="15"/>
      <c r="AM297" s="15"/>
      <c r="AN297" s="15"/>
    </row>
    <row r="298" spans="2:40" hidden="1" x14ac:dyDescent="0.25">
      <c r="B298" s="20"/>
      <c r="C298" s="16"/>
      <c r="D298" s="15"/>
      <c r="E298" s="15"/>
      <c r="F298" s="17"/>
      <c r="G298" s="17"/>
      <c r="H298" s="52" t="s">
        <v>61</v>
      </c>
      <c r="I298" s="15"/>
      <c r="J298" s="52" t="s">
        <v>61</v>
      </c>
      <c r="K298" s="15"/>
      <c r="L298" s="15"/>
      <c r="M298" s="15"/>
      <c r="N298" s="15"/>
      <c r="O298" s="17"/>
      <c r="P298" s="17"/>
      <c r="Q298" s="18"/>
      <c r="R298" s="52"/>
      <c r="S298" s="15"/>
      <c r="T298" s="15"/>
      <c r="U298" s="15"/>
      <c r="V298" s="15"/>
      <c r="W298" s="15"/>
      <c r="X298" s="15"/>
      <c r="Y298" s="15"/>
      <c r="Z298" s="15"/>
      <c r="AA298" s="15"/>
      <c r="AB298" s="19"/>
      <c r="AC298" s="19"/>
      <c r="AD298" s="19"/>
      <c r="AE298" s="19"/>
      <c r="AF298" s="19"/>
      <c r="AG298" s="19"/>
      <c r="AH298" s="31"/>
      <c r="AI298" s="31"/>
      <c r="AJ298" s="31"/>
      <c r="AK298" s="19"/>
      <c r="AL298" s="15"/>
      <c r="AM298" s="15"/>
      <c r="AN298" s="15"/>
    </row>
    <row r="299" spans="2:40" hidden="1" x14ac:dyDescent="0.25">
      <c r="B299" s="20"/>
      <c r="C299" s="16"/>
      <c r="D299" s="15"/>
      <c r="E299" s="15"/>
      <c r="F299" s="17"/>
      <c r="G299" s="17"/>
      <c r="H299" s="52" t="s">
        <v>61</v>
      </c>
      <c r="I299" s="15"/>
      <c r="J299" s="52" t="s">
        <v>61</v>
      </c>
      <c r="K299" s="15"/>
      <c r="L299" s="15"/>
      <c r="M299" s="15"/>
      <c r="N299" s="15"/>
      <c r="O299" s="17"/>
      <c r="P299" s="17"/>
      <c r="Q299" s="18"/>
      <c r="R299" s="52"/>
      <c r="S299" s="15"/>
      <c r="T299" s="15"/>
      <c r="U299" s="15"/>
      <c r="V299" s="15"/>
      <c r="W299" s="15"/>
      <c r="X299" s="15"/>
      <c r="Y299" s="15"/>
      <c r="Z299" s="15"/>
      <c r="AA299" s="15"/>
      <c r="AB299" s="19"/>
      <c r="AC299" s="19"/>
      <c r="AD299" s="19"/>
      <c r="AE299" s="19"/>
      <c r="AF299" s="19"/>
      <c r="AG299" s="19"/>
      <c r="AH299" s="31"/>
      <c r="AI299" s="31"/>
      <c r="AJ299" s="31"/>
      <c r="AK299" s="19"/>
      <c r="AL299" s="15"/>
      <c r="AM299" s="15"/>
      <c r="AN299" s="15"/>
    </row>
    <row r="300" spans="2:40" hidden="1" x14ac:dyDescent="0.25">
      <c r="B300" s="20"/>
      <c r="C300" s="16"/>
      <c r="D300" s="15"/>
      <c r="E300" s="15"/>
      <c r="F300" s="17"/>
      <c r="G300" s="17"/>
      <c r="H300" s="52" t="s">
        <v>61</v>
      </c>
      <c r="I300" s="15"/>
      <c r="J300" s="52" t="s">
        <v>61</v>
      </c>
      <c r="K300" s="15"/>
      <c r="L300" s="15"/>
      <c r="M300" s="15"/>
      <c r="N300" s="15"/>
      <c r="O300" s="17"/>
      <c r="P300" s="17"/>
      <c r="Q300" s="18"/>
      <c r="R300" s="52"/>
      <c r="S300" s="15"/>
      <c r="T300" s="15"/>
      <c r="U300" s="15"/>
      <c r="V300" s="15"/>
      <c r="W300" s="15"/>
      <c r="X300" s="15"/>
      <c r="Y300" s="15"/>
      <c r="Z300" s="15"/>
      <c r="AA300" s="15"/>
      <c r="AB300" s="19"/>
      <c r="AC300" s="19"/>
      <c r="AD300" s="19"/>
      <c r="AE300" s="19"/>
      <c r="AF300" s="19"/>
      <c r="AG300" s="19"/>
      <c r="AH300" s="31"/>
      <c r="AI300" s="31"/>
      <c r="AJ300" s="31"/>
      <c r="AK300" s="19"/>
      <c r="AL300" s="15"/>
      <c r="AM300" s="15"/>
      <c r="AN300" s="15"/>
    </row>
    <row r="301" spans="2:40" hidden="1" x14ac:dyDescent="0.25">
      <c r="B301" s="20"/>
      <c r="C301" s="16"/>
      <c r="D301" s="15"/>
      <c r="E301" s="15"/>
      <c r="F301" s="17"/>
      <c r="G301" s="17"/>
      <c r="H301" s="52" t="s">
        <v>61</v>
      </c>
      <c r="I301" s="15"/>
      <c r="J301" s="52" t="s">
        <v>61</v>
      </c>
      <c r="K301" s="15"/>
      <c r="L301" s="15"/>
      <c r="M301" s="15"/>
      <c r="N301" s="15"/>
      <c r="O301" s="17"/>
      <c r="P301" s="17"/>
      <c r="Q301" s="18"/>
      <c r="R301" s="52"/>
      <c r="S301" s="15"/>
      <c r="T301" s="15"/>
      <c r="U301" s="15"/>
      <c r="V301" s="15"/>
      <c r="W301" s="15"/>
      <c r="X301" s="15"/>
      <c r="Y301" s="15"/>
      <c r="Z301" s="15"/>
      <c r="AA301" s="15"/>
      <c r="AB301" s="19"/>
      <c r="AC301" s="19"/>
      <c r="AD301" s="19"/>
      <c r="AE301" s="19"/>
      <c r="AF301" s="19"/>
      <c r="AG301" s="19"/>
      <c r="AH301" s="31"/>
      <c r="AI301" s="31"/>
      <c r="AJ301" s="31"/>
      <c r="AK301" s="19"/>
      <c r="AL301" s="15"/>
      <c r="AM301" s="15"/>
      <c r="AN301" s="15"/>
    </row>
    <row r="302" spans="2:40" hidden="1" x14ac:dyDescent="0.25">
      <c r="B302" s="20"/>
      <c r="C302" s="16"/>
      <c r="D302" s="15"/>
      <c r="E302" s="15"/>
      <c r="F302" s="17"/>
      <c r="G302" s="17"/>
      <c r="H302" s="52" t="s">
        <v>61</v>
      </c>
      <c r="I302" s="15"/>
      <c r="J302" s="52" t="s">
        <v>61</v>
      </c>
      <c r="K302" s="15"/>
      <c r="L302" s="15"/>
      <c r="M302" s="15"/>
      <c r="N302" s="15"/>
      <c r="O302" s="17"/>
      <c r="P302" s="17"/>
      <c r="Q302" s="18"/>
      <c r="R302" s="52"/>
      <c r="S302" s="15"/>
      <c r="T302" s="15"/>
      <c r="U302" s="15"/>
      <c r="V302" s="15"/>
      <c r="W302" s="15"/>
      <c r="X302" s="15"/>
      <c r="Y302" s="15"/>
      <c r="Z302" s="15"/>
      <c r="AA302" s="15"/>
      <c r="AB302" s="19"/>
      <c r="AC302" s="19"/>
      <c r="AD302" s="19"/>
      <c r="AE302" s="19"/>
      <c r="AF302" s="19"/>
      <c r="AG302" s="19"/>
      <c r="AH302" s="31"/>
      <c r="AI302" s="31"/>
      <c r="AJ302" s="31"/>
      <c r="AK302" s="19"/>
      <c r="AL302" s="15"/>
      <c r="AM302" s="15"/>
      <c r="AN302" s="15"/>
    </row>
    <row r="303" spans="2:40" hidden="1" x14ac:dyDescent="0.25">
      <c r="B303" s="20"/>
      <c r="C303" s="16"/>
      <c r="D303" s="15"/>
      <c r="E303" s="15"/>
      <c r="F303" s="17"/>
      <c r="G303" s="17"/>
      <c r="H303" s="52" t="s">
        <v>61</v>
      </c>
      <c r="I303" s="15"/>
      <c r="J303" s="52" t="s">
        <v>61</v>
      </c>
      <c r="K303" s="15"/>
      <c r="L303" s="15"/>
      <c r="M303" s="15"/>
      <c r="N303" s="15"/>
      <c r="O303" s="17"/>
      <c r="P303" s="17"/>
      <c r="Q303" s="18"/>
      <c r="R303" s="52"/>
      <c r="S303" s="15"/>
      <c r="T303" s="15"/>
      <c r="U303" s="15"/>
      <c r="V303" s="15"/>
      <c r="W303" s="15"/>
      <c r="X303" s="15"/>
      <c r="Y303" s="15"/>
      <c r="Z303" s="15"/>
      <c r="AA303" s="15"/>
      <c r="AB303" s="19"/>
      <c r="AC303" s="19"/>
      <c r="AD303" s="19"/>
      <c r="AE303" s="19"/>
      <c r="AF303" s="19"/>
      <c r="AG303" s="19"/>
      <c r="AH303" s="31"/>
      <c r="AI303" s="31"/>
      <c r="AJ303" s="31"/>
      <c r="AK303" s="19"/>
      <c r="AL303" s="15"/>
      <c r="AM303" s="15"/>
      <c r="AN303" s="15"/>
    </row>
    <row r="304" spans="2:40" hidden="1" x14ac:dyDescent="0.25">
      <c r="B304" s="20"/>
      <c r="C304" s="16"/>
      <c r="D304" s="15"/>
      <c r="E304" s="15"/>
      <c r="F304" s="17"/>
      <c r="G304" s="17"/>
      <c r="H304" s="52" t="s">
        <v>61</v>
      </c>
      <c r="I304" s="15"/>
      <c r="J304" s="52" t="s">
        <v>61</v>
      </c>
      <c r="K304" s="15"/>
      <c r="L304" s="15"/>
      <c r="M304" s="15"/>
      <c r="N304" s="15"/>
      <c r="O304" s="17"/>
      <c r="P304" s="17"/>
      <c r="Q304" s="18"/>
      <c r="R304" s="52"/>
      <c r="S304" s="15"/>
      <c r="T304" s="15"/>
      <c r="U304" s="15"/>
      <c r="V304" s="15"/>
      <c r="W304" s="15"/>
      <c r="X304" s="15"/>
      <c r="Y304" s="15"/>
      <c r="Z304" s="15"/>
      <c r="AA304" s="15"/>
      <c r="AB304" s="19"/>
      <c r="AC304" s="19"/>
      <c r="AD304" s="19"/>
      <c r="AE304" s="19"/>
      <c r="AF304" s="19"/>
      <c r="AG304" s="19"/>
      <c r="AH304" s="31"/>
      <c r="AI304" s="31"/>
      <c r="AJ304" s="31"/>
      <c r="AK304" s="19"/>
      <c r="AL304" s="15"/>
      <c r="AM304" s="15"/>
      <c r="AN304" s="15"/>
    </row>
    <row r="305" spans="2:40" hidden="1" x14ac:dyDescent="0.25">
      <c r="B305" s="20"/>
      <c r="C305" s="16"/>
      <c r="D305" s="15"/>
      <c r="E305" s="15"/>
      <c r="F305" s="17"/>
      <c r="G305" s="17"/>
      <c r="H305" s="52" t="s">
        <v>61</v>
      </c>
      <c r="I305" s="15"/>
      <c r="J305" s="52" t="s">
        <v>61</v>
      </c>
      <c r="K305" s="15"/>
      <c r="L305" s="15"/>
      <c r="M305" s="15"/>
      <c r="N305" s="15"/>
      <c r="O305" s="17"/>
      <c r="P305" s="17"/>
      <c r="Q305" s="18"/>
      <c r="R305" s="52"/>
      <c r="S305" s="15"/>
      <c r="T305" s="15"/>
      <c r="U305" s="15"/>
      <c r="V305" s="15"/>
      <c r="W305" s="15"/>
      <c r="X305" s="15"/>
      <c r="Y305" s="15"/>
      <c r="Z305" s="15"/>
      <c r="AA305" s="15"/>
      <c r="AB305" s="19"/>
      <c r="AC305" s="19"/>
      <c r="AD305" s="19"/>
      <c r="AE305" s="19"/>
      <c r="AF305" s="19"/>
      <c r="AG305" s="19"/>
      <c r="AH305" s="31"/>
      <c r="AI305" s="31"/>
      <c r="AJ305" s="31"/>
      <c r="AK305" s="19"/>
      <c r="AL305" s="15"/>
      <c r="AM305" s="15"/>
      <c r="AN305" s="15"/>
    </row>
    <row r="306" spans="2:40" hidden="1" x14ac:dyDescent="0.25">
      <c r="B306" s="20"/>
      <c r="C306" s="16"/>
      <c r="D306" s="15"/>
      <c r="E306" s="15"/>
      <c r="F306" s="17"/>
      <c r="G306" s="17"/>
      <c r="H306" s="52" t="s">
        <v>61</v>
      </c>
      <c r="I306" s="15"/>
      <c r="J306" s="52" t="s">
        <v>61</v>
      </c>
      <c r="K306" s="15"/>
      <c r="L306" s="15"/>
      <c r="M306" s="15"/>
      <c r="N306" s="15"/>
      <c r="O306" s="17"/>
      <c r="P306" s="17"/>
      <c r="Q306" s="18"/>
      <c r="R306" s="52"/>
      <c r="S306" s="15"/>
      <c r="T306" s="15"/>
      <c r="U306" s="15"/>
      <c r="V306" s="15"/>
      <c r="W306" s="15"/>
      <c r="X306" s="15"/>
      <c r="Y306" s="15"/>
      <c r="Z306" s="15"/>
      <c r="AA306" s="15"/>
      <c r="AB306" s="19"/>
      <c r="AC306" s="19"/>
      <c r="AD306" s="19"/>
      <c r="AE306" s="19"/>
      <c r="AF306" s="19"/>
      <c r="AG306" s="19"/>
      <c r="AH306" s="31"/>
      <c r="AI306" s="31"/>
      <c r="AJ306" s="31"/>
      <c r="AK306" s="19"/>
      <c r="AL306" s="15"/>
      <c r="AM306" s="15"/>
      <c r="AN306" s="15"/>
    </row>
    <row r="307" spans="2:40" hidden="1" x14ac:dyDescent="0.25">
      <c r="B307" s="20"/>
      <c r="C307" s="16"/>
      <c r="D307" s="15"/>
      <c r="E307" s="15"/>
      <c r="F307" s="17"/>
      <c r="G307" s="17"/>
      <c r="H307" s="52" t="s">
        <v>61</v>
      </c>
      <c r="I307" s="15"/>
      <c r="J307" s="52" t="s">
        <v>61</v>
      </c>
      <c r="K307" s="15"/>
      <c r="L307" s="15"/>
      <c r="M307" s="15"/>
      <c r="N307" s="15"/>
      <c r="O307" s="17"/>
      <c r="P307" s="17"/>
      <c r="Q307" s="18"/>
      <c r="R307" s="52"/>
      <c r="S307" s="15"/>
      <c r="T307" s="15"/>
      <c r="U307" s="15"/>
      <c r="V307" s="15"/>
      <c r="W307" s="15"/>
      <c r="X307" s="15"/>
      <c r="Y307" s="15"/>
      <c r="Z307" s="15"/>
      <c r="AA307" s="15"/>
      <c r="AB307" s="19"/>
      <c r="AC307" s="19"/>
      <c r="AD307" s="19"/>
      <c r="AE307" s="19"/>
      <c r="AF307" s="19"/>
      <c r="AG307" s="19"/>
      <c r="AH307" s="31"/>
      <c r="AI307" s="31"/>
      <c r="AJ307" s="31"/>
      <c r="AK307" s="19"/>
      <c r="AL307" s="15"/>
      <c r="AM307" s="15"/>
      <c r="AN307" s="15"/>
    </row>
    <row r="308" spans="2:40" hidden="1" x14ac:dyDescent="0.25">
      <c r="B308" s="20"/>
      <c r="C308" s="16"/>
      <c r="D308" s="15"/>
      <c r="E308" s="15"/>
      <c r="F308" s="17"/>
      <c r="G308" s="17"/>
      <c r="H308" s="52" t="s">
        <v>61</v>
      </c>
      <c r="I308" s="15"/>
      <c r="J308" s="52" t="s">
        <v>61</v>
      </c>
      <c r="K308" s="15"/>
      <c r="L308" s="15"/>
      <c r="M308" s="15"/>
      <c r="N308" s="15"/>
      <c r="O308" s="17"/>
      <c r="P308" s="17"/>
      <c r="Q308" s="18"/>
      <c r="R308" s="52"/>
      <c r="S308" s="15"/>
      <c r="T308" s="15"/>
      <c r="U308" s="15"/>
      <c r="V308" s="15"/>
      <c r="W308" s="15"/>
      <c r="X308" s="15"/>
      <c r="Y308" s="15"/>
      <c r="Z308" s="15"/>
      <c r="AA308" s="15"/>
      <c r="AB308" s="19"/>
      <c r="AC308" s="19"/>
      <c r="AD308" s="19"/>
      <c r="AE308" s="19"/>
      <c r="AF308" s="19"/>
      <c r="AG308" s="19"/>
      <c r="AH308" s="31"/>
      <c r="AI308" s="31"/>
      <c r="AJ308" s="31"/>
      <c r="AK308" s="19"/>
      <c r="AL308" s="15"/>
      <c r="AM308" s="15"/>
      <c r="AN308" s="15"/>
    </row>
    <row r="309" spans="2:40" hidden="1" x14ac:dyDescent="0.25">
      <c r="B309" s="20"/>
      <c r="C309" s="16"/>
      <c r="D309" s="15"/>
      <c r="E309" s="15"/>
      <c r="F309" s="17"/>
      <c r="G309" s="17"/>
      <c r="H309" s="52" t="s">
        <v>61</v>
      </c>
      <c r="I309" s="15"/>
      <c r="J309" s="52" t="s">
        <v>61</v>
      </c>
      <c r="K309" s="15"/>
      <c r="L309" s="15"/>
      <c r="M309" s="15"/>
      <c r="N309" s="15"/>
      <c r="O309" s="17"/>
      <c r="P309" s="17"/>
      <c r="Q309" s="18"/>
      <c r="R309" s="52"/>
      <c r="S309" s="15"/>
      <c r="T309" s="15"/>
      <c r="U309" s="15"/>
      <c r="V309" s="15"/>
      <c r="W309" s="15"/>
      <c r="X309" s="15"/>
      <c r="Y309" s="15"/>
      <c r="Z309" s="15"/>
      <c r="AA309" s="15"/>
      <c r="AB309" s="19"/>
      <c r="AC309" s="19"/>
      <c r="AD309" s="19"/>
      <c r="AE309" s="19"/>
      <c r="AF309" s="19"/>
      <c r="AG309" s="19"/>
      <c r="AH309" s="31"/>
      <c r="AI309" s="31"/>
      <c r="AJ309" s="31"/>
      <c r="AK309" s="19"/>
      <c r="AL309" s="15"/>
      <c r="AM309" s="15"/>
      <c r="AN309" s="15"/>
    </row>
    <row r="310" spans="2:40" hidden="1" x14ac:dyDescent="0.25">
      <c r="B310" s="20"/>
      <c r="C310" s="16"/>
      <c r="D310" s="15"/>
      <c r="E310" s="15"/>
      <c r="F310" s="17"/>
      <c r="G310" s="17"/>
      <c r="H310" s="52" t="s">
        <v>61</v>
      </c>
      <c r="I310" s="15"/>
      <c r="J310" s="52" t="s">
        <v>61</v>
      </c>
      <c r="K310" s="15"/>
      <c r="L310" s="15"/>
      <c r="M310" s="15"/>
      <c r="N310" s="15"/>
      <c r="O310" s="17"/>
      <c r="P310" s="17"/>
      <c r="Q310" s="18"/>
      <c r="R310" s="52"/>
      <c r="S310" s="15"/>
      <c r="T310" s="15"/>
      <c r="U310" s="15"/>
      <c r="V310" s="15"/>
      <c r="W310" s="15"/>
      <c r="X310" s="15"/>
      <c r="Y310" s="15"/>
      <c r="Z310" s="15"/>
      <c r="AA310" s="15"/>
      <c r="AB310" s="19"/>
      <c r="AC310" s="19"/>
      <c r="AD310" s="19"/>
      <c r="AE310" s="19"/>
      <c r="AF310" s="19"/>
      <c r="AG310" s="19"/>
      <c r="AH310" s="31"/>
      <c r="AI310" s="31"/>
      <c r="AJ310" s="31"/>
      <c r="AK310" s="19"/>
      <c r="AL310" s="15"/>
      <c r="AM310" s="15"/>
      <c r="AN310" s="15"/>
    </row>
    <row r="311" spans="2:40" hidden="1" x14ac:dyDescent="0.25">
      <c r="B311" s="20"/>
      <c r="C311" s="16"/>
      <c r="D311" s="15"/>
      <c r="E311" s="15"/>
      <c r="F311" s="17"/>
      <c r="G311" s="17"/>
      <c r="H311" s="52" t="s">
        <v>61</v>
      </c>
      <c r="I311" s="15"/>
      <c r="J311" s="52" t="s">
        <v>61</v>
      </c>
      <c r="K311" s="15"/>
      <c r="L311" s="15"/>
      <c r="M311" s="15"/>
      <c r="N311" s="15"/>
      <c r="O311" s="17"/>
      <c r="P311" s="17"/>
      <c r="Q311" s="18"/>
      <c r="R311" s="52"/>
      <c r="S311" s="15"/>
      <c r="T311" s="15"/>
      <c r="U311" s="15"/>
      <c r="V311" s="15"/>
      <c r="W311" s="15"/>
      <c r="X311" s="15"/>
      <c r="Y311" s="15"/>
      <c r="Z311" s="15"/>
      <c r="AA311" s="15"/>
      <c r="AB311" s="19"/>
      <c r="AC311" s="19"/>
      <c r="AD311" s="19"/>
      <c r="AE311" s="19"/>
      <c r="AF311" s="19"/>
      <c r="AG311" s="19"/>
      <c r="AH311" s="31"/>
      <c r="AI311" s="31"/>
      <c r="AJ311" s="31"/>
      <c r="AK311" s="19"/>
      <c r="AL311" s="15"/>
      <c r="AM311" s="15"/>
      <c r="AN311" s="15"/>
    </row>
    <row r="312" spans="2:40" hidden="1" x14ac:dyDescent="0.25">
      <c r="B312" s="20"/>
      <c r="C312" s="16"/>
      <c r="D312" s="15"/>
      <c r="E312" s="15"/>
      <c r="F312" s="17"/>
      <c r="G312" s="17"/>
      <c r="H312" s="52" t="s">
        <v>61</v>
      </c>
      <c r="I312" s="15"/>
      <c r="J312" s="52" t="s">
        <v>61</v>
      </c>
      <c r="K312" s="15"/>
      <c r="L312" s="15"/>
      <c r="M312" s="15"/>
      <c r="N312" s="15"/>
      <c r="O312" s="17"/>
      <c r="P312" s="17"/>
      <c r="Q312" s="18"/>
      <c r="R312" s="52"/>
      <c r="S312" s="15"/>
      <c r="T312" s="15"/>
      <c r="U312" s="15"/>
      <c r="V312" s="15"/>
      <c r="W312" s="15"/>
      <c r="X312" s="15"/>
      <c r="Y312" s="15"/>
      <c r="Z312" s="15"/>
      <c r="AA312" s="15"/>
      <c r="AB312" s="19"/>
      <c r="AC312" s="19"/>
      <c r="AD312" s="19"/>
      <c r="AE312" s="19"/>
      <c r="AF312" s="19"/>
      <c r="AG312" s="19"/>
      <c r="AH312" s="31"/>
      <c r="AI312" s="31"/>
      <c r="AJ312" s="31"/>
      <c r="AK312" s="19"/>
      <c r="AL312" s="15"/>
      <c r="AM312" s="15"/>
      <c r="AN312" s="15"/>
    </row>
    <row r="313" spans="2:40" hidden="1" x14ac:dyDescent="0.25">
      <c r="B313" s="20"/>
      <c r="C313" s="16"/>
      <c r="D313" s="15"/>
      <c r="E313" s="15"/>
      <c r="F313" s="17"/>
      <c r="G313" s="17"/>
      <c r="H313" s="52" t="s">
        <v>61</v>
      </c>
      <c r="I313" s="15"/>
      <c r="J313" s="52" t="s">
        <v>61</v>
      </c>
      <c r="K313" s="15"/>
      <c r="L313" s="15"/>
      <c r="M313" s="15"/>
      <c r="N313" s="15"/>
      <c r="O313" s="17"/>
      <c r="P313" s="17"/>
      <c r="Q313" s="18"/>
      <c r="R313" s="52"/>
      <c r="S313" s="15"/>
      <c r="T313" s="15"/>
      <c r="U313" s="15"/>
      <c r="V313" s="15"/>
      <c r="W313" s="15"/>
      <c r="X313" s="15"/>
      <c r="Y313" s="15"/>
      <c r="Z313" s="15"/>
      <c r="AA313" s="15"/>
      <c r="AB313" s="19"/>
      <c r="AC313" s="19"/>
      <c r="AD313" s="19"/>
      <c r="AE313" s="19"/>
      <c r="AF313" s="19"/>
      <c r="AG313" s="19"/>
      <c r="AH313" s="31"/>
      <c r="AI313" s="31"/>
      <c r="AJ313" s="31"/>
      <c r="AK313" s="19"/>
      <c r="AL313" s="15"/>
      <c r="AM313" s="15"/>
      <c r="AN313" s="15"/>
    </row>
    <row r="314" spans="2:40" hidden="1" x14ac:dyDescent="0.25">
      <c r="B314" s="20"/>
      <c r="C314" s="16"/>
      <c r="D314" s="15"/>
      <c r="E314" s="15"/>
      <c r="F314" s="17"/>
      <c r="G314" s="17"/>
      <c r="H314" s="52" t="s">
        <v>61</v>
      </c>
      <c r="I314" s="15"/>
      <c r="J314" s="52" t="s">
        <v>61</v>
      </c>
      <c r="K314" s="15"/>
      <c r="L314" s="15"/>
      <c r="M314" s="15"/>
      <c r="N314" s="15"/>
      <c r="O314" s="17"/>
      <c r="P314" s="17"/>
      <c r="Q314" s="18"/>
      <c r="R314" s="52"/>
      <c r="S314" s="15"/>
      <c r="T314" s="15"/>
      <c r="U314" s="15"/>
      <c r="V314" s="15"/>
      <c r="W314" s="15"/>
      <c r="X314" s="15"/>
      <c r="Y314" s="15"/>
      <c r="Z314" s="15"/>
      <c r="AA314" s="15"/>
      <c r="AB314" s="19"/>
      <c r="AC314" s="19"/>
      <c r="AD314" s="19"/>
      <c r="AE314" s="19"/>
      <c r="AF314" s="19"/>
      <c r="AG314" s="19"/>
      <c r="AH314" s="31"/>
      <c r="AI314" s="31"/>
      <c r="AJ314" s="31"/>
      <c r="AK314" s="19"/>
      <c r="AL314" s="15"/>
      <c r="AM314" s="15"/>
      <c r="AN314" s="15"/>
    </row>
    <row r="315" spans="2:40" hidden="1" x14ac:dyDescent="0.25">
      <c r="B315" s="20"/>
      <c r="C315" s="16"/>
      <c r="D315" s="15"/>
      <c r="E315" s="15"/>
      <c r="F315" s="17"/>
      <c r="G315" s="17"/>
      <c r="H315" s="52" t="s">
        <v>61</v>
      </c>
      <c r="I315" s="15"/>
      <c r="J315" s="52" t="s">
        <v>61</v>
      </c>
      <c r="K315" s="15"/>
      <c r="L315" s="15"/>
      <c r="M315" s="15"/>
      <c r="N315" s="15"/>
      <c r="O315" s="17"/>
      <c r="P315" s="17"/>
      <c r="Q315" s="18"/>
      <c r="R315" s="52" t="s">
        <v>61</v>
      </c>
      <c r="S315" s="15"/>
      <c r="T315" s="15"/>
      <c r="U315" s="15"/>
      <c r="V315" s="15"/>
      <c r="W315" s="15"/>
      <c r="X315" s="15"/>
      <c r="Y315" s="15"/>
      <c r="Z315" s="15"/>
      <c r="AA315" s="15"/>
      <c r="AB315" s="19"/>
      <c r="AC315" s="19"/>
      <c r="AD315" s="19"/>
      <c r="AE315" s="19"/>
      <c r="AF315" s="19"/>
      <c r="AG315" s="19"/>
      <c r="AH315" s="31"/>
      <c r="AI315" s="31"/>
      <c r="AJ315" s="31"/>
      <c r="AK315" s="19"/>
      <c r="AL315" s="15"/>
      <c r="AM315" s="15"/>
      <c r="AN315" s="15"/>
    </row>
    <row r="316" spans="2:40" hidden="1" x14ac:dyDescent="0.25">
      <c r="B316" s="20"/>
      <c r="C316" s="16"/>
      <c r="D316" s="15"/>
      <c r="E316" s="15"/>
      <c r="F316" s="17"/>
      <c r="G316" s="17"/>
      <c r="H316" s="52" t="s">
        <v>61</v>
      </c>
      <c r="I316" s="15"/>
      <c r="J316" s="52" t="s">
        <v>61</v>
      </c>
      <c r="K316" s="15"/>
      <c r="L316" s="15"/>
      <c r="M316" s="15"/>
      <c r="N316" s="15"/>
      <c r="O316" s="17"/>
      <c r="P316" s="17"/>
      <c r="Q316" s="18"/>
      <c r="R316" s="52" t="s">
        <v>61</v>
      </c>
      <c r="S316" s="15"/>
      <c r="T316" s="15"/>
      <c r="U316" s="15"/>
      <c r="V316" s="15"/>
      <c r="W316" s="15"/>
      <c r="X316" s="15"/>
      <c r="Y316" s="15"/>
      <c r="Z316" s="15"/>
      <c r="AA316" s="15"/>
      <c r="AB316" s="19"/>
      <c r="AC316" s="19"/>
      <c r="AD316" s="19"/>
      <c r="AE316" s="19"/>
      <c r="AF316" s="19"/>
      <c r="AG316" s="19"/>
      <c r="AH316" s="31"/>
      <c r="AI316" s="31"/>
      <c r="AJ316" s="31"/>
      <c r="AK316" s="19"/>
      <c r="AL316" s="15"/>
      <c r="AM316" s="15"/>
      <c r="AN316" s="15"/>
    </row>
    <row r="317" spans="2:40" hidden="1" x14ac:dyDescent="0.25">
      <c r="B317" s="20"/>
      <c r="C317" s="16"/>
      <c r="D317" s="15"/>
      <c r="E317" s="15"/>
      <c r="F317" s="17"/>
      <c r="G317" s="17"/>
      <c r="H317" s="52" t="s">
        <v>61</v>
      </c>
      <c r="I317" s="15"/>
      <c r="J317" s="52" t="s">
        <v>61</v>
      </c>
      <c r="K317" s="15"/>
      <c r="L317" s="15"/>
      <c r="M317" s="15"/>
      <c r="N317" s="15"/>
      <c r="O317" s="17"/>
      <c r="P317" s="17"/>
      <c r="Q317" s="18"/>
      <c r="R317" s="52" t="s">
        <v>61</v>
      </c>
      <c r="S317" s="15"/>
      <c r="T317" s="15"/>
      <c r="U317" s="15"/>
      <c r="V317" s="15"/>
      <c r="W317" s="15"/>
      <c r="X317" s="15"/>
      <c r="Y317" s="15"/>
      <c r="Z317" s="15"/>
      <c r="AA317" s="15"/>
      <c r="AB317" s="19"/>
      <c r="AC317" s="19"/>
      <c r="AD317" s="19"/>
      <c r="AE317" s="19"/>
      <c r="AF317" s="19"/>
      <c r="AG317" s="19"/>
      <c r="AH317" s="31"/>
      <c r="AI317" s="31"/>
      <c r="AJ317" s="31"/>
      <c r="AK317" s="19"/>
      <c r="AL317" s="15"/>
      <c r="AM317" s="15"/>
      <c r="AN317" s="15"/>
    </row>
    <row r="318" spans="2:40" hidden="1" x14ac:dyDescent="0.25">
      <c r="B318" s="20"/>
      <c r="C318" s="16"/>
      <c r="D318" s="15"/>
      <c r="E318" s="15"/>
      <c r="F318" s="17"/>
      <c r="G318" s="17"/>
      <c r="H318" s="52" t="s">
        <v>61</v>
      </c>
      <c r="I318" s="15"/>
      <c r="J318" s="52" t="s">
        <v>61</v>
      </c>
      <c r="K318" s="15"/>
      <c r="L318" s="15"/>
      <c r="M318" s="15"/>
      <c r="N318" s="15"/>
      <c r="O318" s="17"/>
      <c r="P318" s="17"/>
      <c r="Q318" s="18"/>
      <c r="R318" s="52" t="s">
        <v>61</v>
      </c>
      <c r="S318" s="15"/>
      <c r="T318" s="15"/>
      <c r="U318" s="15"/>
      <c r="V318" s="15"/>
      <c r="W318" s="15"/>
      <c r="X318" s="15"/>
      <c r="Y318" s="15"/>
      <c r="Z318" s="15"/>
      <c r="AA318" s="15"/>
      <c r="AB318" s="19"/>
      <c r="AC318" s="19"/>
      <c r="AD318" s="19"/>
      <c r="AE318" s="19"/>
      <c r="AF318" s="19"/>
      <c r="AG318" s="19"/>
      <c r="AH318" s="31"/>
      <c r="AI318" s="31"/>
      <c r="AJ318" s="31"/>
      <c r="AK318" s="19"/>
      <c r="AL318" s="15"/>
      <c r="AM318" s="15"/>
      <c r="AN318" s="15"/>
    </row>
    <row r="319" spans="2:40" x14ac:dyDescent="0.25"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1" spans="8:23" x14ac:dyDescent="0.25">
      <c r="U321" s="5"/>
      <c r="V321" s="112"/>
      <c r="W321" s="5"/>
    </row>
    <row r="322" spans="8:23" x14ac:dyDescent="0.25">
      <c r="V322" s="5"/>
    </row>
    <row r="323" spans="8:23" x14ac:dyDescent="0.25">
      <c r="V323" s="5"/>
    </row>
    <row r="324" spans="8:23" x14ac:dyDescent="0.25">
      <c r="V324" s="5"/>
    </row>
    <row r="325" spans="8:23" x14ac:dyDescent="0.25">
      <c r="H325" s="163"/>
      <c r="I325" s="164"/>
      <c r="J325" s="163"/>
    </row>
    <row r="326" spans="8:23" x14ac:dyDescent="0.25">
      <c r="H326" s="163"/>
      <c r="I326" s="164"/>
      <c r="J326" s="163"/>
    </row>
    <row r="327" spans="8:23" x14ac:dyDescent="0.25">
      <c r="H327" s="163"/>
      <c r="I327" s="164"/>
      <c r="J327" s="163"/>
    </row>
    <row r="328" spans="8:23" x14ac:dyDescent="0.25">
      <c r="H328" s="163"/>
      <c r="I328" s="164"/>
      <c r="J328" s="163"/>
    </row>
    <row r="329" spans="8:23" x14ac:dyDescent="0.25">
      <c r="H329" s="163"/>
      <c r="I329" s="164"/>
      <c r="J329" s="163"/>
    </row>
    <row r="330" spans="8:23" x14ac:dyDescent="0.25">
      <c r="H330" s="165"/>
      <c r="I330" s="166"/>
      <c r="J330" s="165"/>
    </row>
    <row r="331" spans="8:23" x14ac:dyDescent="0.25">
      <c r="H331" s="163"/>
      <c r="I331" s="164"/>
      <c r="J331" s="163"/>
    </row>
    <row r="332" spans="8:23" x14ac:dyDescent="0.25">
      <c r="H332" s="163"/>
      <c r="I332" s="164"/>
      <c r="J332" s="163"/>
    </row>
    <row r="333" spans="8:23" x14ac:dyDescent="0.25">
      <c r="H333" s="163"/>
      <c r="I333" s="164"/>
      <c r="J333" s="163"/>
    </row>
    <row r="334" spans="8:23" x14ac:dyDescent="0.25">
      <c r="H334" s="163"/>
      <c r="I334" s="164"/>
      <c r="J334" s="163"/>
    </row>
    <row r="335" spans="8:23" x14ac:dyDescent="0.25">
      <c r="H335" s="163"/>
      <c r="I335" s="164"/>
      <c r="J335" s="163"/>
    </row>
    <row r="336" spans="8:23" x14ac:dyDescent="0.25">
      <c r="H336" s="165"/>
      <c r="I336" s="166"/>
      <c r="J336" s="165"/>
    </row>
    <row r="337" spans="8:10" x14ac:dyDescent="0.25">
      <c r="H337" s="163"/>
      <c r="I337" s="164"/>
      <c r="J337" s="163"/>
    </row>
    <row r="338" spans="8:10" x14ac:dyDescent="0.25">
      <c r="H338" s="163"/>
      <c r="I338" s="164"/>
      <c r="J338" s="163"/>
    </row>
    <row r="339" spans="8:10" x14ac:dyDescent="0.25">
      <c r="H339" s="163"/>
      <c r="I339" s="164"/>
      <c r="J339" s="163"/>
    </row>
  </sheetData>
  <autoFilter ref="B59:AN318">
    <filterColumn colId="17">
      <filters>
        <filter val="phuong.nguyen-thanh"/>
      </filters>
    </filterColumn>
  </autoFilter>
  <customSheetViews>
    <customSheetView guid="{3B3E6719-EACB-4D2C-89C1-05FFAB6020FD}" scale="70" filter="1" showAutoFilter="1" topLeftCell="Q44">
      <selection activeCell="AH323" sqref="AH323"/>
      <pageMargins left="0.7" right="0.7" top="0.75" bottom="0.75" header="0.3" footer="0.3"/>
      <pageSetup orientation="portrait" horizontalDpi="300" r:id="rId1"/>
      <autoFilter ref="B59:AN318">
        <filterColumn colId="17">
          <filters>
            <filter val="phuong.nguyen-thanh"/>
          </filters>
        </filterColumn>
      </autoFilter>
    </customSheetView>
    <customSheetView guid="{D33AC7AF-C8AB-4CE9-94C7-9237011A5FC3}" scale="70" topLeftCell="T92">
      <selection activeCell="M263" sqref="M263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 showAutoFilter="1" topLeftCell="A10">
      <selection activeCell="G35" sqref="G35"/>
      <pageMargins left="0.7" right="0.7" top="0.75" bottom="0.75" header="0.3" footer="0.3"/>
      <pageSetup orientation="portrait" horizontalDpi="300" verticalDpi="0" r:id="rId3"/>
      <autoFilter ref="P47:P307"/>
    </customSheetView>
    <customSheetView guid="{A2C66332-A809-458E-971B-FDB6D62C74C3}" filter="1" showAutoFilter="1" topLeftCell="F44">
      <pane xSplit="4" topLeftCell="AB1" activePane="topRight" state="frozen"/>
      <selection pane="topRight" activeCell="AD310" sqref="AD310"/>
      <pageMargins left="0.7" right="0.7" top="0.75" bottom="0.75" header="0.3" footer="0.3"/>
      <pageSetup orientation="portrait" horizontalDpi="300" verticalDpi="0" r:id="rId4"/>
      <autoFilter ref="B47:AN306">
        <filterColumn colId="17">
          <filters>
            <filter val="bang.nguyen-duy"/>
          </filters>
        </filterColumn>
      </autoFilter>
    </customSheetView>
    <customSheetView guid="{60D2C030-4E31-4E07-8E1C-44D2EE84B177}" scale="85" filter="1" showAutoFilter="1" topLeftCell="O41">
      <selection activeCell="AH312" sqref="AH312"/>
      <pageMargins left="0.7" right="0.7" top="0.75" bottom="0.75" header="0.3" footer="0.3"/>
      <pageSetup orientation="portrait" horizontalDpi="300" verticalDpi="0" r:id="rId5"/>
      <autoFilter ref="B47:AN306">
        <filterColumn colId="17">
          <filters>
            <filter val="chung.ly"/>
          </filters>
        </filterColumn>
      </autoFilter>
    </customSheetView>
    <customSheetView guid="{7ECC2B8E-6A82-42F5-8AB0-4A51C54EA5EC}" scale="70" filter="1" showAutoFilter="1" topLeftCell="J12">
      <selection activeCell="Z281" sqref="Z281"/>
      <pageMargins left="0.7" right="0.7" top="0.75" bottom="0.75" header="0.3" footer="0.3"/>
      <pageSetup orientation="portrait" horizontalDpi="300" verticalDpi="0" r:id="rId6"/>
      <autoFilter ref="B47:AN306">
        <filterColumn colId="1">
          <filters>
            <filter val="20200522"/>
            <filter val="20200526"/>
            <filter val="20200528"/>
          </filters>
        </filterColumn>
        <filterColumn colId="17">
          <filters>
            <filter val="hau.nguyen-tai"/>
          </filters>
        </filterColumn>
      </autoFilter>
    </customSheetView>
    <customSheetView guid="{7E0EA425-A420-4443-B9E0-CDF0AA9E5D09}" scale="85" filter="1" showAutoFilter="1" topLeftCell="W28">
      <selection activeCell="AL235" sqref="AL235"/>
      <pageMargins left="0.7" right="0.7" top="0.75" bottom="0.75" header="0.3" footer="0.3"/>
      <pageSetup orientation="portrait" horizontalDpi="300" verticalDpi="0" r:id="rId7"/>
      <autoFilter ref="B47:AN306">
        <filterColumn colId="17">
          <filters>
            <filter val="chung.ly"/>
            <filter val="duong.nguyen"/>
            <filter val="loc.do-phu"/>
            <filter val="thanh.nguyen-kim"/>
          </filters>
        </filterColumn>
        <filterColumn colId="28">
          <filters>
            <dateGroupItem year="2020" month="5" day="28" dateTimeGrouping="day"/>
            <dateGroupItem year="2020" month="5" day="29" dateTimeGrouping="day"/>
          </filters>
        </filterColumn>
      </autoFilter>
    </customSheetView>
    <customSheetView guid="{4E06BDBF-2CED-473B-850B-2A6C7311FF41}" scale="85" filter="1" showAutoFilter="1" topLeftCell="T56">
      <selection activeCell="AB320" sqref="AB320"/>
      <pageMargins left="0.7" right="0.7" top="0.75" bottom="0.75" header="0.3" footer="0.3"/>
      <pageSetup orientation="portrait" horizontalDpi="300" r:id="rId8"/>
      <autoFilter ref="B59:AN318">
        <filterColumn colId="17">
          <filters>
            <filter val="thanh.nguyen-kim"/>
          </filters>
        </filterColumn>
        <filterColumn colId="28">
          <filters>
            <dateGroupItem year="2020" month="5" day="29" dateTimeGrouping="day"/>
          </filters>
        </filterColumn>
      </autoFilter>
    </customSheetView>
    <customSheetView guid="{C94451EF-7A3E-4D72-B5A4-3D1B193192CC}" scale="85" filter="1" showAutoFilter="1" topLeftCell="I31">
      <selection activeCell="AE199" sqref="AE199:AK199"/>
      <pageMargins left="0.7" right="0.7" top="0.75" bottom="0.75" header="0.3" footer="0.3"/>
      <pageSetup orientation="portrait" horizontalDpi="300" verticalDpi="0" r:id="rId9"/>
      <autoFilter ref="B59:AN318">
        <filterColumn colId="12">
          <filters>
            <filter val="FAW_IPB1.1_Int"/>
          </filters>
        </filterColumn>
        <filterColumn colId="17">
          <filters>
            <filter val="loc.do-phu"/>
          </filters>
        </filterColumn>
      </autoFilter>
    </customSheetView>
    <customSheetView guid="{970EE037-F5E5-47AF-896A-0F6222879EBC}" topLeftCell="A55">
      <selection activeCell="F277" sqref="F277"/>
      <pageMargins left="0.7" right="0.7" top="0.75" bottom="0.75" header="0.3" footer="0.3"/>
      <pageSetup orientation="portrait" horizontalDpi="300" r:id="rId10"/>
    </customSheetView>
  </customSheetViews>
  <conditionalFormatting sqref="H4:H17 H23:H37 H43:H55">
    <cfRule type="cellIs" dxfId="76" priority="103" operator="equal">
      <formula>1</formula>
    </cfRule>
    <cfRule type="cellIs" dxfId="75" priority="104" operator="lessThan">
      <formula>1</formula>
    </cfRule>
  </conditionalFormatting>
  <conditionalFormatting sqref="AK267:AK318 AK60:AK265 AG267:AG318 AG60:AG265">
    <cfRule type="cellIs" dxfId="74" priority="101" operator="equal">
      <formula>"OK"</formula>
    </cfRule>
    <cfRule type="cellIs" dxfId="73" priority="102" operator="equal">
      <formula>"NG"</formula>
    </cfRule>
  </conditionalFormatting>
  <conditionalFormatting sqref="O60:P318">
    <cfRule type="cellIs" dxfId="72" priority="100" operator="equal">
      <formula>"PUT_VERSION"</formula>
    </cfRule>
  </conditionalFormatting>
  <conditionalFormatting sqref="D18">
    <cfRule type="expression" dxfId="71" priority="88">
      <formula>$D$18=SUM($D$4:$D$17)</formula>
    </cfRule>
  </conditionalFormatting>
  <conditionalFormatting sqref="E18">
    <cfRule type="expression" dxfId="70" priority="87">
      <formula>$E$18=SUM($E$4:$E$17)</formula>
    </cfRule>
  </conditionalFormatting>
  <conditionalFormatting sqref="F18">
    <cfRule type="expression" dxfId="69" priority="86">
      <formula>$F$18=SUM($F$4:$F$17)</formula>
    </cfRule>
  </conditionalFormatting>
  <conditionalFormatting sqref="D37">
    <cfRule type="expression" dxfId="68" priority="85">
      <formula>$D$37=SUM($D$23:$D$36)</formula>
    </cfRule>
  </conditionalFormatting>
  <conditionalFormatting sqref="E37">
    <cfRule type="expression" dxfId="67" priority="84">
      <formula>$E$37=SUM($E$23:$E$36)</formula>
    </cfRule>
  </conditionalFormatting>
  <conditionalFormatting sqref="H42">
    <cfRule type="cellIs" dxfId="66" priority="69" operator="equal">
      <formula>1</formula>
    </cfRule>
    <cfRule type="cellIs" dxfId="65" priority="70" operator="lessThan">
      <formula>1</formula>
    </cfRule>
  </conditionalFormatting>
  <conditionalFormatting sqref="H56">
    <cfRule type="cellIs" dxfId="64" priority="61" operator="equal">
      <formula>1</formula>
    </cfRule>
    <cfRule type="cellIs" dxfId="63" priority="62" operator="lessThan">
      <formula>1</formula>
    </cfRule>
  </conditionalFormatting>
  <conditionalFormatting sqref="F37">
    <cfRule type="expression" dxfId="62" priority="121">
      <formula>$F$37=SUM($F$23:$F$36)</formula>
    </cfRule>
  </conditionalFormatting>
  <conditionalFormatting sqref="K60:K318">
    <cfRule type="cellIs" dxfId="61" priority="3" operator="equal">
      <formula>"Manual"</formula>
    </cfRule>
    <cfRule type="cellIs" dxfId="60" priority="4" operator="equal">
      <formula>"Auto"</formula>
    </cfRule>
  </conditionalFormatting>
  <dataValidations count="3">
    <dataValidation type="list" allowBlank="1" showInputMessage="1" showErrorMessage="1" sqref="AG60:AG265 AG267:AG318">
      <formula1>"OK,NG"</formula1>
    </dataValidation>
    <dataValidation type="list" allowBlank="1" showInputMessage="1" showErrorMessage="1" sqref="U60:U318">
      <formula1>"Yes,No"</formula1>
    </dataValidation>
    <dataValidation type="list" allowBlank="1" showInputMessage="1" showErrorMessage="1" sqref="AK267:AK318">
      <formula1>$C$45:$C$47</formula1>
    </dataValidation>
  </dataValidations>
  <pageMargins left="0.7" right="0.7" top="0.75" bottom="0.75" header="0.3" footer="0.3"/>
  <pageSetup orientation="portrait" horizontalDpi="300" r:id="rId11"/>
  <ignoredErrors>
    <ignoredError sqref="Y85" formula="1"/>
  </ignoredErrors>
  <legacyDrawing r:id="rId1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D60:D318</xm:sqref>
        </x14:conditionalFormatting>
        <x14:conditionalFormatting xmlns:xm="http://schemas.microsoft.com/office/excel/2006/main">
          <x14:cfRule type="cellIs" priority="105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6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07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8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81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2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79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0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77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8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6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AK267:AK318 AK60:AK265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Table!$C$31:$C$37</xm:f>
          </x14:formula1>
          <xm:sqref>AC95:AC96</xm:sqref>
        </x14:dataValidation>
        <x14:dataValidation type="list" allowBlank="1" showInputMessage="1" showErrorMessage="1">
          <x14:formula1>
            <xm:f>Table!$C$41:$C$43</xm:f>
          </x14:formula1>
          <xm:sqref>AK60:AK265</xm:sqref>
        </x14:dataValidation>
        <x14:dataValidation type="list" allowBlank="1" showInputMessage="1" showErrorMessage="1">
          <x14:formula1>
            <xm:f>Table!$C$8:$C$9</xm:f>
          </x14:formula1>
          <xm:sqref>D60:D318</xm:sqref>
        </x14:dataValidation>
        <x14:dataValidation type="list" allowBlank="1" showInputMessage="1" showErrorMessage="1">
          <x14:formula1>
            <xm:f>Table!$C$52:$C$53</xm:f>
          </x14:formula1>
          <xm:sqref>K60:K318</xm:sqref>
        </x14:dataValidation>
        <x14:dataValidation type="list" allowBlank="1" showInputMessage="1" showErrorMessage="1">
          <x14:formula1>
            <xm:f>Table!$C$31:$C$37</xm:f>
          </x14:formula1>
          <xm:sqref>AA60:AA318</xm:sqref>
        </x14:dataValidation>
        <x14:dataValidation type="list" allowBlank="1" showInputMessage="1" showErrorMessage="1">
          <x14:formula1>
            <xm:f>Table!$C$13:$C$27</xm:f>
          </x14:formula1>
          <xm:sqref>S60:T318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151"/>
  <sheetViews>
    <sheetView topLeftCell="I67" zoomScale="70" zoomScaleNormal="85" workbookViewId="0">
      <selection activeCell="AH100" sqref="AH100"/>
    </sheetView>
  </sheetViews>
  <sheetFormatPr defaultRowHeight="15" x14ac:dyDescent="0.25"/>
  <cols>
    <col min="3" max="3" width="21" bestFit="1" customWidth="1"/>
    <col min="5" max="5" width="24.28515625" bestFit="1" customWidth="1"/>
    <col min="6" max="6" width="35.85546875" bestFit="1" customWidth="1"/>
    <col min="9" max="9" width="59.7109375" customWidth="1"/>
    <col min="11" max="11" width="12.42578125" customWidth="1"/>
    <col min="13" max="13" width="12.85546875" customWidth="1"/>
    <col min="14" max="14" width="36.1406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2" x14ac:dyDescent="0.25">
      <c r="A1" s="68" t="s">
        <v>141</v>
      </c>
    </row>
    <row r="2" spans="1:12" x14ac:dyDescent="0.25">
      <c r="B2" s="68" t="s">
        <v>52</v>
      </c>
      <c r="C2" s="23"/>
      <c r="D2" s="23"/>
      <c r="E2" s="23"/>
      <c r="F2" s="23"/>
      <c r="G2" s="23"/>
      <c r="H2" s="23"/>
    </row>
    <row r="3" spans="1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131</v>
      </c>
      <c r="G3" s="61" t="s">
        <v>22</v>
      </c>
      <c r="H3" s="62" t="s">
        <v>24</v>
      </c>
      <c r="J3" s="68" t="s">
        <v>39</v>
      </c>
    </row>
    <row r="4" spans="1:12" x14ac:dyDescent="0.25">
      <c r="B4" s="63">
        <v>1</v>
      </c>
      <c r="C4" s="77" t="s">
        <v>6</v>
      </c>
      <c r="D4" s="65">
        <f>SUMIFS($W$60:$W$151,$D$60:$D$151,Table!$D$3,$S$60:$S$151,C4)</f>
        <v>0</v>
      </c>
      <c r="E4" s="65">
        <f>SUMIFS($X$60:$X$151,$D$60:$D$151,Table!$D$3,$S$60:$S$151,C4)-SUM(SUMIFS($X$60:$X$151,$D$60:$D$151,Table!$D$3,$S$60:$S$151,C4,$AA$60:$AA$151,{"Ongoing","N\A",""}))</f>
        <v>0</v>
      </c>
      <c r="F4" s="65">
        <f>1/8*(SUMIFS($Z$60:$Z$151,$D$60:$D$151,Table!$D$3,$S$60:$S$151,C4)-SUM(SUMIFS($Z$60:$Z$151,$D$60:$D$151,Table!$D$3,$S$60:$S$151,C4,$AA$60:$AA$151,{"Ongoing","N/A",""})))</f>
        <v>0</v>
      </c>
      <c r="G4" s="65" t="str">
        <f>IF(ISERROR(E4/(F4)),"N/A",E4/F4)</f>
        <v>N/A</v>
      </c>
      <c r="H4" s="66" t="str">
        <f>IF(ISERROR(E4/D4),"N/A",E4/D4)</f>
        <v>N/A</v>
      </c>
      <c r="K4" s="68" t="s">
        <v>41</v>
      </c>
    </row>
    <row r="5" spans="1:12" x14ac:dyDescent="0.25">
      <c r="B5" s="63">
        <v>2</v>
      </c>
      <c r="C5" s="73" t="s">
        <v>64</v>
      </c>
      <c r="D5" s="65">
        <f>SUMIFS($W$60:$W$151,$D$60:$D$151,Table!$D$3,$S$60:$S$151,C5)</f>
        <v>0</v>
      </c>
      <c r="E5" s="65">
        <f>SUMIFS($X$60:$X$151,$D$60:$D$151,Table!$D$3,$S$60:$S$151,C5)-SUM(SUMIFS($X$60:$X$151,$D$60:$D$151,Table!$D$3,$S$60:$S$151,C5,$AA$60:$AA$151,{"Ongoing","N\A",""}))</f>
        <v>0</v>
      </c>
      <c r="F5" s="65">
        <f>1/8*(SUMIFS($Z$60:$Z$151,$D$60:$D$151,Table!$D$3,$S$60:$S$151,C5)-SUM(SUMIFS($Z$60:$Z$151,$D$60:$D$151,Table!$D$3,$S$60:$S$151,C5,$AA$60:$AA$151,{"Ongoing","N/A",""})))</f>
        <v>0</v>
      </c>
      <c r="G5" s="65" t="str">
        <f t="shared" ref="G5:G12" si="0">IF(ISERROR(E5/(F5)),"N/A",E5/F5)</f>
        <v>N/A</v>
      </c>
      <c r="H5" s="66" t="str">
        <f t="shared" ref="H5:H18" si="1">IF(ISERROR(E5/D5),"N/A",E5/D5)</f>
        <v>N/A</v>
      </c>
      <c r="L5" s="23" t="s">
        <v>40</v>
      </c>
    </row>
    <row r="6" spans="1:12" x14ac:dyDescent="0.25">
      <c r="B6" s="63">
        <v>3</v>
      </c>
      <c r="C6" s="77" t="s">
        <v>65</v>
      </c>
      <c r="D6" s="65">
        <f>SUMIFS($W$60:$W$151,$D$60:$D$151,Table!$D$3,$S$60:$S$151,C6)</f>
        <v>0</v>
      </c>
      <c r="E6" s="65">
        <f>SUMIFS($X$60:$X$151,$D$60:$D$151,Table!$D$3,$S$60:$S$151,C6)-SUM(SUMIFS($X$60:$X$151,$D$60:$D$151,Table!$D$3,$S$60:$S$151,C6,$AA$60:$AA$151,{"Ongoing","N\A",""}))</f>
        <v>0</v>
      </c>
      <c r="F6" s="65">
        <f>1/8*(SUMIFS($Z$60:$Z$151,$D$60:$D$151,Table!$D$3,$S$60:$S$151,C6)-SUM(SUMIFS($Z$60:$Z$151,$D$60:$D$151,Table!$D$3,$S$60:$S$151,C6,$AA$60:$AA$151,{"Ongoing","N/A",""})))</f>
        <v>0</v>
      </c>
      <c r="G6" s="65" t="str">
        <f t="shared" si="0"/>
        <v>N/A</v>
      </c>
      <c r="H6" s="66" t="str">
        <f t="shared" si="1"/>
        <v>N/A</v>
      </c>
      <c r="L6" s="23" t="s">
        <v>97</v>
      </c>
    </row>
    <row r="7" spans="1:12" x14ac:dyDescent="0.25">
      <c r="B7" s="63">
        <v>4</v>
      </c>
      <c r="C7" s="73" t="s">
        <v>66</v>
      </c>
      <c r="D7" s="65">
        <f>SUMIFS($W$60:$W$151,$D$60:$D$151,Table!$D$3,$S$60:$S$151,C7)</f>
        <v>945</v>
      </c>
      <c r="E7" s="65">
        <f>SUMIFS($X$60:$X$151,$D$60:$D$151,Table!$D$3,$S$60:$S$151,C7)-SUM(SUMIFS($X$60:$X$151,$D$60:$D$151,Table!$D$3,$S$60:$S$151,C7,$AA$60:$AA$151,{"Ongoing","N\A",""}))</f>
        <v>945</v>
      </c>
      <c r="F7" s="65">
        <f>1/8*(SUMIFS($Z$60:$Z$151,$D$60:$D$151,Table!$D$3,$S$60:$S$151,C7)-SUM(SUMIFS($Z$60:$Z$151,$D$60:$D$151,Table!$D$3,$S$60:$S$151,C7,$AA$60:$AA$151,{"Ongoing","N/A",""})))</f>
        <v>1.5</v>
      </c>
      <c r="G7" s="65">
        <f t="shared" si="0"/>
        <v>630</v>
      </c>
      <c r="H7" s="66">
        <f t="shared" si="1"/>
        <v>1</v>
      </c>
      <c r="K7" s="68" t="s">
        <v>42</v>
      </c>
    </row>
    <row r="8" spans="1:12" x14ac:dyDescent="0.25">
      <c r="B8" s="63">
        <v>5</v>
      </c>
      <c r="C8" s="64" t="s">
        <v>67</v>
      </c>
      <c r="D8" s="65">
        <f>SUMIFS($W$60:$W$151,$D$60:$D$151,Table!$D$3,$S$60:$S$151,C8)</f>
        <v>0</v>
      </c>
      <c r="E8" s="65">
        <f>SUMIFS($X$60:$X$151,$D$60:$D$151,Table!$D$3,$S$60:$S$151,C8)-SUM(SUMIFS($X$60:$X$151,$D$60:$D$151,Table!$D$3,$S$60:$S$151,C8,$AA$60:$AA$151,{"Ongoing","N\A",""}))</f>
        <v>0</v>
      </c>
      <c r="F8" s="65">
        <f>1/8*(SUMIFS($Z$60:$Z$151,$D$60:$D$151,Table!$D$3,$S$60:$S$151,C8)-SUM(SUMIFS($Z$60:$Z$151,$D$60:$D$151,Table!$D$3,$S$60:$S$151,C8,$AA$60:$AA$151,{"Ongoing","N/A",""})))</f>
        <v>0</v>
      </c>
      <c r="G8" s="65" t="str">
        <f t="shared" si="0"/>
        <v>N/A</v>
      </c>
      <c r="H8" s="66" t="str">
        <f t="shared" si="1"/>
        <v>N/A</v>
      </c>
      <c r="L8" s="23" t="s">
        <v>43</v>
      </c>
    </row>
    <row r="9" spans="1:12" x14ac:dyDescent="0.25">
      <c r="B9" s="63">
        <v>6</v>
      </c>
      <c r="C9" s="64" t="s">
        <v>68</v>
      </c>
      <c r="D9" s="65">
        <f>SUMIFS($W$60:$W$151,$D$60:$D$151,Table!$D$3,$S$60:$S$151,C9)</f>
        <v>0</v>
      </c>
      <c r="E9" s="65">
        <f>SUMIFS($X$60:$X$151,$D$60:$D$151,Table!$D$3,$S$60:$S$151,C9)-SUM(SUMIFS($X$60:$X$151,$D$60:$D$151,Table!$D$3,$S$60:$S$151,C9,$AA$60:$AA$151,{"Ongoing","N\A",""}))</f>
        <v>0</v>
      </c>
      <c r="F9" s="65">
        <f>1/8*(SUMIFS($Z$60:$Z$151,$D$60:$D$151,Table!$D$3,$S$60:$S$151,C9)-SUM(SUMIFS($Z$60:$Z$151,$D$60:$D$151,Table!$D$3,$S$60:$S$151,C9,$AA$60:$AA$151,{"Ongoing","N/A",""})))</f>
        <v>0</v>
      </c>
      <c r="G9" s="65" t="str">
        <f t="shared" si="0"/>
        <v>N/A</v>
      </c>
      <c r="H9" s="66" t="str">
        <f t="shared" si="1"/>
        <v>N/A</v>
      </c>
      <c r="L9" s="23" t="s">
        <v>44</v>
      </c>
    </row>
    <row r="10" spans="1:12" x14ac:dyDescent="0.25">
      <c r="B10" s="63">
        <v>7</v>
      </c>
      <c r="C10" s="64" t="s">
        <v>69</v>
      </c>
      <c r="D10" s="65">
        <f>SUMIFS($W$60:$W$151,$D$60:$D$151,Table!$D$3,$S$60:$S$151,C10)</f>
        <v>0</v>
      </c>
      <c r="E10" s="65">
        <f>SUMIFS($X$60:$X$151,$D$60:$D$151,Table!$D$3,$S$60:$S$151,C10)-SUM(SUMIFS($X$60:$X$151,$D$60:$D$151,Table!$D$3,$S$60:$S$151,C10,$AA$60:$AA$151,{"Ongoing","N\A",""}))</f>
        <v>0</v>
      </c>
      <c r="F10" s="65">
        <f>1/8*(SUMIFS($Z$60:$Z$151,$D$60:$D$151,Table!$D$3,$S$60:$S$151,C10)-SUM(SUMIFS($Z$60:$Z$151,$D$60:$D$151,Table!$D$3,$S$60:$S$151,C10,$AA$60:$AA$151,{"Ongoing","N/A",""})))</f>
        <v>0</v>
      </c>
      <c r="G10" s="65" t="str">
        <f t="shared" si="0"/>
        <v>N/A</v>
      </c>
      <c r="H10" s="66" t="str">
        <f t="shared" si="1"/>
        <v>N/A</v>
      </c>
    </row>
    <row r="11" spans="1:12" x14ac:dyDescent="0.25">
      <c r="B11" s="63">
        <v>8</v>
      </c>
      <c r="C11" s="64" t="s">
        <v>70</v>
      </c>
      <c r="D11" s="65">
        <f>SUMIFS($W$60:$W$151,$D$60:$D$151,Table!$D$3,$S$60:$S$151,C11)</f>
        <v>0</v>
      </c>
      <c r="E11" s="65">
        <f>SUMIFS($X$60:$X$151,$D$60:$D$151,Table!$D$3,$S$60:$S$151,C11)-SUM(SUMIFS($X$60:$X$151,$D$60:$D$151,Table!$D$3,$S$60:$S$151,C11,$AA$60:$AA$151,{"Ongoing","N\A",""}))</f>
        <v>0</v>
      </c>
      <c r="F11" s="65">
        <f>1/8*(SUMIFS($Z$60:$Z$151,$D$60:$D$151,Table!$D$3,$S$60:$S$151,C11)-SUM(SUMIFS($Z$60:$Z$151,$D$60:$D$151,Table!$D$3,$S$60:$S$151,C11,$AA$60:$AA$151,{"Ongoing","N/A",""})))</f>
        <v>0</v>
      </c>
      <c r="G11" s="65" t="str">
        <f t="shared" si="0"/>
        <v>N/A</v>
      </c>
      <c r="H11" s="66" t="str">
        <f t="shared" si="1"/>
        <v>N/A</v>
      </c>
    </row>
    <row r="12" spans="1:12" x14ac:dyDescent="0.25">
      <c r="B12" s="63">
        <v>9</v>
      </c>
      <c r="C12" s="73" t="s">
        <v>142</v>
      </c>
      <c r="D12" s="65">
        <f>SUMIFS($W$60:$W$151,$D$60:$D$151,Table!$D$3,$S$60:$S$151,C12)</f>
        <v>5656.5</v>
      </c>
      <c r="E12" s="65">
        <f>SUMIFS($X$60:$X$151,$D$60:$D$151,Table!$D$3,$S$60:$S$151,C12)-SUM(SUMIFS($X$60:$X$151,$D$60:$D$151,Table!$D$3,$S$60:$S$151,C12,$AA$60:$AA$151,{"Ongoing","N\A",""}))</f>
        <v>900</v>
      </c>
      <c r="F12" s="65">
        <f>1/8*(SUMIFS($Z$60:$Z$151,$D$60:$D$151,Table!$D$3,$S$60:$S$151,C12)-SUM(SUMIFS($Z$60:$Z$151,$D$60:$D$151,Table!$D$3,$S$60:$S$151,C12,$AA$60:$AA$151,{"Ongoing","N/A",""})))</f>
        <v>1.625</v>
      </c>
      <c r="G12" s="65">
        <f t="shared" si="0"/>
        <v>553.84615384615381</v>
      </c>
      <c r="H12" s="66">
        <f t="shared" si="1"/>
        <v>0.15910898965791567</v>
      </c>
    </row>
    <row r="13" spans="1:12" x14ac:dyDescent="0.25">
      <c r="B13" s="63">
        <v>10</v>
      </c>
      <c r="C13" s="77" t="s">
        <v>143</v>
      </c>
      <c r="D13" s="65">
        <f>SUMIFS($W$60:$W$151,$D$60:$D$151,Table!$D$3,$S$60:$S$151,C13)</f>
        <v>0</v>
      </c>
      <c r="E13" s="65">
        <f>SUMIFS($X$60:$X$151,$D$60:$D$151,Table!$D$3,$S$60:$S$151,C13)-SUM(SUMIFS($X$60:$X$151,$D$60:$D$151,Table!$D$3,$S$60:$S$151,C13,$AA$60:$AA$151,{"Ongoing","N\A",""}))</f>
        <v>0</v>
      </c>
      <c r="F13" s="65">
        <f>1/8*(SUMIFS($Z$60:$Z$151,$D$60:$D$151,Table!$D$3,$S$60:$S$151,C13)-SUM(SUMIFS($Z$60:$Z$151,$D$60:$D$151,Table!$D$3,$S$60:$S$151,C13,$AA$60:$AA$151,{"Ongoing","N/A",""})))</f>
        <v>0</v>
      </c>
      <c r="G13" s="65" t="str">
        <f t="shared" ref="G13:G17" si="2">IF(ISERROR(E13/(F13)),"N/A",E13/F13)</f>
        <v>N/A</v>
      </c>
      <c r="H13" s="66" t="str">
        <f t="shared" ref="H13:H17" si="3">IF(ISERROR(E13/D13),"N/A",E13/D13)</f>
        <v>N/A</v>
      </c>
    </row>
    <row r="14" spans="1:12" x14ac:dyDescent="0.25">
      <c r="B14" s="63">
        <v>11</v>
      </c>
      <c r="C14" s="73" t="s">
        <v>760</v>
      </c>
      <c r="D14" s="65">
        <f>SUMIFS($W$60:$W$151,$D$60:$D$151,Table!$D$3,$S$60:$S$151,C14)</f>
        <v>2578.5</v>
      </c>
      <c r="E14" s="65">
        <f>SUMIFS($X$60:$X$151,$D$60:$D$151,Table!$D$3,$S$60:$S$151,C14)-SUM(SUMIFS($X$60:$X$151,$D$60:$D$151,Table!$D$3,$S$60:$S$151,C14,$AA$60:$AA$151,{"Ongoing","N\A",""}))</f>
        <v>0</v>
      </c>
      <c r="F14" s="65">
        <f>1/8*(SUMIFS($Z$60:$Z$151,$D$60:$D$151,Table!$D$3,$S$60:$S$151,C14)-SUM(SUMIFS($Z$60:$Z$151,$D$60:$D$151,Table!$D$3,$S$60:$S$151,C14,$AA$60:$AA$151,{"Ongoing","N/A",""})))</f>
        <v>0</v>
      </c>
      <c r="G14" s="65" t="str">
        <f t="shared" si="2"/>
        <v>N/A</v>
      </c>
      <c r="H14" s="66">
        <f t="shared" si="3"/>
        <v>0</v>
      </c>
    </row>
    <row r="15" spans="1:12" x14ac:dyDescent="0.25">
      <c r="B15" s="63">
        <v>12</v>
      </c>
      <c r="C15" s="77" t="s">
        <v>761</v>
      </c>
      <c r="D15" s="65">
        <f>SUMIFS($W$60:$W$151,$D$60:$D$151,Table!$D$3,$S$60:$S$151,C15)</f>
        <v>0</v>
      </c>
      <c r="E15" s="65">
        <f>SUMIFS($X$60:$X$151,$D$60:$D$151,Table!$D$3,$S$60:$S$151,C15)-SUM(SUMIFS($X$60:$X$151,$D$60:$D$151,Table!$D$3,$S$60:$S$151,C15,$AA$60:$AA$151,{"Ongoing","N\A",""}))</f>
        <v>0</v>
      </c>
      <c r="F15" s="65">
        <f>1/8*(SUMIFS($Z$60:$Z$151,$D$60:$D$151,Table!$D$3,$S$60:$S$151,C15)-SUM(SUMIFS($Z$60:$Z$151,$D$60:$D$151,Table!$D$3,$S$60:$S$151,C15,$AA$60:$AA$151,{"Ongoing","N/A",""})))</f>
        <v>0</v>
      </c>
      <c r="G15" s="65" t="str">
        <f t="shared" si="2"/>
        <v>N/A</v>
      </c>
      <c r="H15" s="66" t="str">
        <f t="shared" si="3"/>
        <v>N/A</v>
      </c>
    </row>
    <row r="16" spans="1:12" x14ac:dyDescent="0.25">
      <c r="B16" s="63">
        <v>13</v>
      </c>
      <c r="C16" s="77" t="s">
        <v>762</v>
      </c>
      <c r="D16" s="65">
        <f>SUMIFS($W$60:$W$151,$D$60:$D$151,Table!$D$3,$S$60:$S$151,C16)</f>
        <v>0</v>
      </c>
      <c r="E16" s="65">
        <f>SUMIFS($X$60:$X$151,$D$60:$D$151,Table!$D$3,$S$60:$S$151,C16)-SUM(SUMIFS($X$60:$X$151,$D$60:$D$151,Table!$D$3,$S$60:$S$151,C16,$AA$60:$AA$151,{"Ongoing","N\A",""}))</f>
        <v>0</v>
      </c>
      <c r="F16" s="65">
        <f>1/8*(SUMIFS($Z$60:$Z$151,$D$60:$D$151,Table!$D$3,$S$60:$S$151,C16)-SUM(SUMIFS($Z$60:$Z$151,$D$60:$D$151,Table!$D$3,$S$60:$S$151,C16,$AA$60:$AA$151,{"Ongoing","N/A",""})))</f>
        <v>0</v>
      </c>
      <c r="G16" s="65" t="str">
        <f t="shared" si="2"/>
        <v>N/A</v>
      </c>
      <c r="H16" s="66" t="str">
        <f t="shared" si="3"/>
        <v>N/A</v>
      </c>
    </row>
    <row r="17" spans="2:13" x14ac:dyDescent="0.25">
      <c r="B17" s="63">
        <v>14</v>
      </c>
      <c r="C17" s="77" t="s">
        <v>763</v>
      </c>
      <c r="D17" s="65">
        <f>SUMIFS($W$60:$W$151,$D$60:$D$151,Table!$D$3,$S$60:$S$151,C17)</f>
        <v>0</v>
      </c>
      <c r="E17" s="65">
        <f>SUMIFS($X$60:$X$151,$D$60:$D$151,Table!$D$3,$S$60:$S$151,C17)-SUM(SUMIFS($X$60:$X$151,$D$60:$D$151,Table!$D$3,$S$60:$S$151,C17,$AA$60:$AA$151,{"Ongoing","N\A",""}))</f>
        <v>0</v>
      </c>
      <c r="F17" s="65">
        <f>1/8*(SUMIFS($Z$60:$Z$151,$D$60:$D$151,Table!$D$3,$S$60:$S$151,C17)-SUM(SUMIFS($Z$60:$Z$151,$D$60:$D$151,Table!$D$3,$S$60:$S$151,C17,$AA$60:$AA$151,{"Ongoing","N/A",""})))</f>
        <v>0</v>
      </c>
      <c r="G17" s="65" t="str">
        <f t="shared" si="2"/>
        <v>N/A</v>
      </c>
      <c r="H17" s="66" t="str">
        <f t="shared" si="3"/>
        <v>N/A</v>
      </c>
      <c r="J17" s="68" t="s">
        <v>38</v>
      </c>
      <c r="K17" s="70">
        <f>Template_Total_Report!B23</f>
        <v>43972</v>
      </c>
      <c r="M17" s="70">
        <f ca="1">Template_Total_Report!D23</f>
        <v>43979</v>
      </c>
    </row>
    <row r="18" spans="2:13" x14ac:dyDescent="0.25">
      <c r="B18" s="61" t="s">
        <v>106</v>
      </c>
      <c r="C18" s="67"/>
      <c r="D18" s="69">
        <f>SUMIFS($W$60:$W$151,$D$60:$D$151,Table!$D$3)</f>
        <v>9180</v>
      </c>
      <c r="E18" s="69">
        <f>ROUND(SUMIFS($W$60:$W$151,$D$60:$D$151,Table!$D$3)-SUM(SUMIFS($W$60:$W$151,$D$60:$D$151,Table!$D$3,$AA$60:$AA$151,{"Ongoing","N/A",""})),3)</f>
        <v>1845</v>
      </c>
      <c r="F18" s="69">
        <f>1/8*(SUMIFS($Z$60:$Z$151,$D$60:$D$151,Table!$D$3)-SUM(SUMIFS($Z$60:$Z$151,$D$60:$D$151,Table!$D$3,$AA$60:$AA$151,{"Ongoing","N/A",""})))</f>
        <v>3.125</v>
      </c>
      <c r="G18" s="65">
        <f>IF(ISERROR(E18/(F18)),"N/A",E18/F18)</f>
        <v>590.4</v>
      </c>
      <c r="H18" s="66">
        <f t="shared" si="1"/>
        <v>0.20098039215686275</v>
      </c>
      <c r="J18" s="68" t="s">
        <v>30</v>
      </c>
      <c r="K18" s="71">
        <f ca="1">Template_Total_Report!B24</f>
        <v>6</v>
      </c>
    </row>
    <row r="19" spans="2:13" x14ac:dyDescent="0.25">
      <c r="J19" s="68" t="s">
        <v>137</v>
      </c>
      <c r="K19" s="71">
        <f>Template_Total_Report!B25</f>
        <v>0</v>
      </c>
      <c r="L19" s="72"/>
    </row>
    <row r="20" spans="2:13" x14ac:dyDescent="0.25">
      <c r="J20" s="68" t="s">
        <v>108</v>
      </c>
      <c r="K20" s="23">
        <f ca="1">Template_Total_Report!B26</f>
        <v>6</v>
      </c>
    </row>
    <row r="21" spans="2:13" x14ac:dyDescent="0.25">
      <c r="B21" s="68" t="s">
        <v>51</v>
      </c>
    </row>
    <row r="22" spans="2:13" x14ac:dyDescent="0.25">
      <c r="B22" s="61" t="s">
        <v>0</v>
      </c>
      <c r="C22" s="61" t="s">
        <v>8</v>
      </c>
      <c r="D22" s="61" t="s">
        <v>125</v>
      </c>
      <c r="E22" s="61" t="s">
        <v>53</v>
      </c>
      <c r="F22" s="61" t="s">
        <v>131</v>
      </c>
      <c r="G22" s="61" t="s">
        <v>22</v>
      </c>
      <c r="H22" s="62" t="s">
        <v>24</v>
      </c>
    </row>
    <row r="23" spans="2:13" x14ac:dyDescent="0.25">
      <c r="B23" s="63">
        <v>1</v>
      </c>
      <c r="C23" s="77" t="s">
        <v>6</v>
      </c>
      <c r="D23" s="65">
        <f>SUMIFS($W$60:$W$151,$D$60:$D$151,Table!$C$3,$S$60:$S$151,C23)</f>
        <v>0</v>
      </c>
      <c r="E23" s="65">
        <f>SUMIFS($X$60:$X$151,$D$60:$D$151,Table!$C$3,$S$60:$S$151,C23)-SUM(SUMIFS($X$60:$X$151,$D$60:$D$151,Table!$C$3,$S$60:$S$151,C23,$AA$60:$AA$151,{"Ongoing","N/A",""}))</f>
        <v>0</v>
      </c>
      <c r="F23" s="65">
        <f>1/8*(SUMIFS($Z$60:$Z$151,$D$60:$D$151,Table!$C$3,$S$60:$S$151,C23)-SUM(SUMIFS($Z$60:$Z$151,$D$60:$D$151,Table!$C$3,$S$60:$S$151,C23,$AA$60:$AA$151,{"Ongoing","N/A",""})))</f>
        <v>0</v>
      </c>
      <c r="G23" s="65" t="str">
        <f>IF(ISERROR(E23/(F23)),"N/A",E23/F23)</f>
        <v>N/A</v>
      </c>
      <c r="H23" s="66" t="str">
        <f>IF(ISERROR(E23/D23),"N/A",E23/D23)</f>
        <v>N/A</v>
      </c>
    </row>
    <row r="24" spans="2:13" x14ac:dyDescent="0.25">
      <c r="B24" s="63">
        <v>2</v>
      </c>
      <c r="C24" s="73" t="s">
        <v>64</v>
      </c>
      <c r="D24" s="65">
        <f>SUMIFS($W$60:$W$151,$D$60:$D$151,Table!$C$3,$S$60:$S$151,C24)</f>
        <v>0</v>
      </c>
      <c r="E24" s="65">
        <f>SUMIFS($X$60:$X$151,$D$60:$D$151,Table!$C$3,$S$60:$S$151,C24)-SUM(SUMIFS($X$60:$X$151,$D$60:$D$151,Table!$C$3,$S$60:$S$151,C24,$AA$60:$AA$151,{"Ongoing","N/A",""}))</f>
        <v>0</v>
      </c>
      <c r="F24" s="65">
        <f>1/8*(SUMIFS($Z$60:$Z$151,$D$60:$D$151,Table!$C$3,$S$60:$S$151,C24)-SUM(SUMIFS($Z$60:$Z$151,$D$60:$D$151,Table!$C$3,$S$60:$S$151,C24,$AA$60:$AA$151,{"Ongoing","N/A",""})))</f>
        <v>0</v>
      </c>
      <c r="G24" s="65" t="str">
        <f t="shared" ref="G24:G37" si="4">IF(ISERROR(E24/(F24)),"N/A",E24/F24)</f>
        <v>N/A</v>
      </c>
      <c r="H24" s="66" t="str">
        <f t="shared" ref="H24:H37" si="5">IF(ISERROR(E24/D24),"N/A",E24/D24)</f>
        <v>N/A</v>
      </c>
    </row>
    <row r="25" spans="2:13" x14ac:dyDescent="0.25">
      <c r="B25" s="63">
        <v>3</v>
      </c>
      <c r="C25" s="77" t="s">
        <v>65</v>
      </c>
      <c r="D25" s="65">
        <f>SUMIFS($W$60:$W$151,$D$60:$D$151,Table!$C$3,$S$60:$S$151,C25)</f>
        <v>0</v>
      </c>
      <c r="E25" s="65">
        <f>SUMIFS($X$60:$X$151,$D$60:$D$151,Table!$C$3,$S$60:$S$151,C25)-SUM(SUMIFS($X$60:$X$151,$D$60:$D$151,Table!$C$3,$S$60:$S$151,C25,$AA$60:$AA$151,{"Ongoing","N/A",""}))</f>
        <v>0</v>
      </c>
      <c r="F25" s="65">
        <f>1/8*(SUMIFS($Z$60:$Z$151,$D$60:$D$151,Table!$C$3,$S$60:$S$151,C25)-SUM(SUMIFS($Z$60:$Z$151,$D$60:$D$151,Table!$C$3,$S$60:$S$151,C25,$AA$60:$AA$151,{"Ongoing","N/A",""})))</f>
        <v>0</v>
      </c>
      <c r="G25" s="65" t="str">
        <f t="shared" si="4"/>
        <v>N/A</v>
      </c>
      <c r="H25" s="66" t="str">
        <f t="shared" si="5"/>
        <v>N/A</v>
      </c>
    </row>
    <row r="26" spans="2:13" x14ac:dyDescent="0.25">
      <c r="B26" s="63">
        <v>4</v>
      </c>
      <c r="C26" s="73" t="s">
        <v>66</v>
      </c>
      <c r="D26" s="65">
        <f>SUMIFS($W$60:$W$151,$D$60:$D$151,Table!$C$3,$S$60:$S$151,C26)</f>
        <v>0</v>
      </c>
      <c r="E26" s="65">
        <f>SUMIFS($X$60:$X$151,$D$60:$D$151,Table!$C$3,$S$60:$S$151,C26)-SUM(SUMIFS($X$60:$X$151,$D$60:$D$151,Table!$C$3,$S$60:$S$151,C26,$AA$60:$AA$151,{"Ongoing","N/A",""}))</f>
        <v>0</v>
      </c>
      <c r="F26" s="65">
        <f>1/8*(SUMIFS($Z$60:$Z$151,$D$60:$D$151,Table!$C$3,$S$60:$S$151,C26)-SUM(SUMIFS($Z$60:$Z$151,$D$60:$D$151,Table!$C$3,$S$60:$S$151,C26,$AA$60:$AA$151,{"Ongoing","N/A",""})))</f>
        <v>0</v>
      </c>
      <c r="G26" s="65" t="str">
        <f t="shared" si="4"/>
        <v>N/A</v>
      </c>
      <c r="H26" s="66" t="str">
        <f t="shared" si="5"/>
        <v>N/A</v>
      </c>
    </row>
    <row r="27" spans="2:13" x14ac:dyDescent="0.25">
      <c r="B27" s="63">
        <v>5</v>
      </c>
      <c r="C27" s="64" t="s">
        <v>67</v>
      </c>
      <c r="D27" s="65">
        <f>SUMIFS($W$60:$W$151,$D$60:$D$151,Table!$C$3,$S$60:$S$151,C27)</f>
        <v>0</v>
      </c>
      <c r="E27" s="65">
        <f>SUMIFS($X$60:$X$151,$D$60:$D$151,Table!$C$3,$S$60:$S$151,C27)-SUM(SUMIFS($X$60:$X$151,$D$60:$D$151,Table!$C$3,$S$60:$S$151,C27,$AA$60:$AA$151,{"Ongoing","N/A",""}))</f>
        <v>0</v>
      </c>
      <c r="F27" s="65">
        <f>1/8*(SUMIFS($Z$60:$Z$151,$D$60:$D$151,Table!$C$3,$S$60:$S$151,C27)-SUM(SUMIFS($Z$60:$Z$151,$D$60:$D$151,Table!$C$3,$S$60:$S$151,C27,$AA$60:$AA$151,{"Ongoing","N/A",""})))</f>
        <v>0</v>
      </c>
      <c r="G27" s="65" t="str">
        <f t="shared" si="4"/>
        <v>N/A</v>
      </c>
      <c r="H27" s="66" t="str">
        <f t="shared" si="5"/>
        <v>N/A</v>
      </c>
    </row>
    <row r="28" spans="2:13" x14ac:dyDescent="0.25">
      <c r="B28" s="63">
        <v>6</v>
      </c>
      <c r="C28" s="64" t="s">
        <v>68</v>
      </c>
      <c r="D28" s="65">
        <f>SUMIFS($W$60:$W$151,$D$60:$D$151,Table!$C$3,$S$60:$S$151,C28)</f>
        <v>0</v>
      </c>
      <c r="E28" s="65">
        <f>SUMIFS($X$60:$X$151,$D$60:$D$151,Table!$C$3,$S$60:$S$151,C28)-SUM(SUMIFS($X$60:$X$151,$D$60:$D$151,Table!$C$3,$S$60:$S$151,C28,$AA$60:$AA$151,{"Ongoing","N/A",""}))</f>
        <v>0</v>
      </c>
      <c r="F28" s="65">
        <f>1/8*(SUMIFS($Z$60:$Z$151,$D$60:$D$151,Table!$C$3,$S$60:$S$151,C28)-SUM(SUMIFS($Z$60:$Z$151,$D$60:$D$151,Table!$C$3,$S$60:$S$151,C28,$AA$60:$AA$151,{"Ongoing","N/A",""})))</f>
        <v>0</v>
      </c>
      <c r="G28" s="65" t="str">
        <f t="shared" si="4"/>
        <v>N/A</v>
      </c>
      <c r="H28" s="66" t="str">
        <f t="shared" si="5"/>
        <v>N/A</v>
      </c>
    </row>
    <row r="29" spans="2:13" x14ac:dyDescent="0.25">
      <c r="B29" s="63">
        <v>7</v>
      </c>
      <c r="C29" s="64" t="s">
        <v>69</v>
      </c>
      <c r="D29" s="65">
        <f>SUMIFS($W$60:$W$151,$D$60:$D$151,Table!$C$3,$S$60:$S$151,C29)</f>
        <v>0</v>
      </c>
      <c r="E29" s="65">
        <f>SUMIFS($X$60:$X$151,$D$60:$D$151,Table!$C$3,$S$60:$S$151,C29)-SUM(SUMIFS($X$60:$X$151,$D$60:$D$151,Table!$C$3,$S$60:$S$151,C29,$AA$60:$AA$151,{"Ongoing","N/A",""}))</f>
        <v>0</v>
      </c>
      <c r="F29" s="65">
        <f>1/8*(SUMIFS($Z$60:$Z$151,$D$60:$D$151,Table!$C$3,$S$60:$S$151,C29)-SUM(SUMIFS($Z$60:$Z$151,$D$60:$D$151,Table!$C$3,$S$60:$S$151,C29,$AA$60:$AA$151,{"Ongoing","N/A",""})))</f>
        <v>0</v>
      </c>
      <c r="G29" s="65" t="str">
        <f t="shared" si="4"/>
        <v>N/A</v>
      </c>
      <c r="H29" s="66" t="str">
        <f t="shared" si="5"/>
        <v>N/A</v>
      </c>
    </row>
    <row r="30" spans="2:13" x14ac:dyDescent="0.25">
      <c r="B30" s="63">
        <v>8</v>
      </c>
      <c r="C30" s="64" t="s">
        <v>70</v>
      </c>
      <c r="D30" s="65">
        <f>SUMIFS($W$60:$W$151,$D$60:$D$151,Table!$C$3,$S$60:$S$151,C30)</f>
        <v>0</v>
      </c>
      <c r="E30" s="65">
        <f>SUMIFS($X$60:$X$151,$D$60:$D$151,Table!$C$3,$S$60:$S$151,C30)-SUM(SUMIFS($X$60:$X$151,$D$60:$D$151,Table!$C$3,$S$60:$S$151,C30,$AA$60:$AA$151,{"Ongoing","N/A",""}))</f>
        <v>0</v>
      </c>
      <c r="F30" s="65">
        <f>1/8*(SUMIFS($Z$60:$Z$151,$D$60:$D$151,Table!$C$3,$S$60:$S$151,C30)-SUM(SUMIFS($Z$60:$Z$151,$D$60:$D$151,Table!$C$3,$S$60:$S$151,C30,$AA$60:$AA$151,{"Ongoing","N/A",""})))</f>
        <v>0</v>
      </c>
      <c r="G30" s="65" t="str">
        <f t="shared" si="4"/>
        <v>N/A</v>
      </c>
      <c r="H30" s="66" t="str">
        <f t="shared" si="5"/>
        <v>N/A</v>
      </c>
    </row>
    <row r="31" spans="2:13" x14ac:dyDescent="0.25">
      <c r="B31" s="63">
        <v>9</v>
      </c>
      <c r="C31" s="73" t="s">
        <v>142</v>
      </c>
      <c r="D31" s="65">
        <f>SUMIFS($W$60:$W$151,$D$60:$D$151,Table!$C$3,$S$60:$S$151,C31)</f>
        <v>364</v>
      </c>
      <c r="E31" s="65">
        <f>SUMIFS($X$60:$X$151,$D$60:$D$151,Table!$C$3,$S$60:$S$151,C31)-SUM(SUMIFS($X$60:$X$151,$D$60:$D$151,Table!$C$3,$S$60:$S$151,C31,$AA$60:$AA$151,{"Ongoing","N/A",""}))</f>
        <v>364</v>
      </c>
      <c r="F31" s="65">
        <f>1/8*(SUMIFS($Z$60:$Z$151,$D$60:$D$151,Table!$C$3,$S$60:$S$151,C31)-SUM(SUMIFS($Z$60:$Z$151,$D$60:$D$151,Table!$C$3,$S$60:$S$151,C31,$AA$60:$AA$151,{"Ongoing","N/A",""})))</f>
        <v>2.5</v>
      </c>
      <c r="G31" s="65">
        <f t="shared" si="4"/>
        <v>145.6</v>
      </c>
      <c r="H31" s="66">
        <f t="shared" si="5"/>
        <v>1</v>
      </c>
    </row>
    <row r="32" spans="2:13" x14ac:dyDescent="0.25">
      <c r="B32" s="63">
        <v>10</v>
      </c>
      <c r="C32" s="77" t="s">
        <v>143</v>
      </c>
      <c r="D32" s="65">
        <f>SUMIFS($W$60:$W$151,$D$60:$D$151,Table!$C$3,$S$60:$S$151,C32)</f>
        <v>0</v>
      </c>
      <c r="E32" s="65">
        <f>SUMIFS($X$60:$X$151,$D$60:$D$151,Table!$C$3,$S$60:$S$151,C32)-SUM(SUMIFS($X$60:$X$151,$D$60:$D$151,Table!$C$3,$S$60:$S$151,C32,$AA$60:$AA$151,{"Ongoing","N/A",""}))</f>
        <v>0</v>
      </c>
      <c r="F32" s="65">
        <f>1/8*(SUMIFS($Z$60:$Z$151,$D$60:$D$151,Table!$C$3,$S$60:$S$151,C32)-SUM(SUMIFS($Z$60:$Z$151,$D$60:$D$151,Table!$C$3,$S$60:$S$151,C32,$AA$60:$AA$151,{"Ongoing","N/A",""})))</f>
        <v>0</v>
      </c>
      <c r="G32" s="65" t="str">
        <f t="shared" ref="G32:G36" si="6">IF(ISERROR(E32/(F32)),"N/A",E32/F32)</f>
        <v>N/A</v>
      </c>
      <c r="H32" s="66" t="str">
        <f t="shared" ref="H32:H36" si="7">IF(ISERROR(E32/D32),"N/A",E32/D32)</f>
        <v>N/A</v>
      </c>
    </row>
    <row r="33" spans="1:12" x14ac:dyDescent="0.25">
      <c r="B33" s="63">
        <v>11</v>
      </c>
      <c r="C33" s="73" t="s">
        <v>760</v>
      </c>
      <c r="D33" s="65">
        <f>SUMIFS($W$60:$W$151,$D$60:$D$151,Table!$C$3,$S$60:$S$151,C33)</f>
        <v>0</v>
      </c>
      <c r="E33" s="65">
        <f>SUMIFS($X$60:$X$151,$D$60:$D$151,Table!$C$3,$S$60:$S$151,C33)-SUM(SUMIFS($X$60:$X$151,$D$60:$D$151,Table!$C$3,$S$60:$S$151,C33,$AA$60:$AA$151,{"Ongoing","N/A",""}))</f>
        <v>0</v>
      </c>
      <c r="F33" s="65">
        <f>1/8*(SUMIFS($Z$60:$Z$151,$D$60:$D$151,Table!$C$3,$S$60:$S$151,C33)-SUM(SUMIFS($Z$60:$Z$151,$D$60:$D$151,Table!$C$3,$S$60:$S$151,C33,$AA$60:$AA$151,{"Ongoing","N/A",""})))</f>
        <v>0</v>
      </c>
      <c r="G33" s="65" t="str">
        <f t="shared" si="6"/>
        <v>N/A</v>
      </c>
      <c r="H33" s="66" t="str">
        <f t="shared" si="7"/>
        <v>N/A</v>
      </c>
    </row>
    <row r="34" spans="1:12" x14ac:dyDescent="0.25">
      <c r="B34" s="63">
        <v>12</v>
      </c>
      <c r="C34" s="77" t="s">
        <v>761</v>
      </c>
      <c r="D34" s="65">
        <f>SUMIFS($W$60:$W$151,$D$60:$D$151,Table!$C$3,$S$60:$S$151,C34)</f>
        <v>0</v>
      </c>
      <c r="E34" s="65">
        <f>SUMIFS($X$60:$X$151,$D$60:$D$151,Table!$C$3,$S$60:$S$151,C34)-SUM(SUMIFS($X$60:$X$151,$D$60:$D$151,Table!$C$3,$S$60:$S$151,C34,$AA$60:$AA$151,{"Ongoing","N/A",""}))</f>
        <v>0</v>
      </c>
      <c r="F34" s="65">
        <f>1/8*(SUMIFS($Z$60:$Z$151,$D$60:$D$151,Table!$C$3,$S$60:$S$151,C34)-SUM(SUMIFS($Z$60:$Z$151,$D$60:$D$151,Table!$C$3,$S$60:$S$151,C34,$AA$60:$AA$151,{"Ongoing","N/A",""})))</f>
        <v>0</v>
      </c>
      <c r="G34" s="65" t="str">
        <f t="shared" si="6"/>
        <v>N/A</v>
      </c>
      <c r="H34" s="66" t="str">
        <f t="shared" si="7"/>
        <v>N/A</v>
      </c>
    </row>
    <row r="35" spans="1:12" x14ac:dyDescent="0.25">
      <c r="B35" s="63">
        <v>13</v>
      </c>
      <c r="C35" s="77" t="s">
        <v>762</v>
      </c>
      <c r="D35" s="65">
        <f>SUMIFS($W$60:$W$151,$D$60:$D$151,Table!$C$3,$S$60:$S$151,C35)</f>
        <v>0</v>
      </c>
      <c r="E35" s="65">
        <f>SUMIFS($X$60:$X$151,$D$60:$D$151,Table!$C$3,$S$60:$S$151,C35)-SUM(SUMIFS($X$60:$X$151,$D$60:$D$151,Table!$C$3,$S$60:$S$151,C35,$AA$60:$AA$151,{"Ongoing","N/A",""}))</f>
        <v>0</v>
      </c>
      <c r="F35" s="65">
        <f>1/8*(SUMIFS($Z$60:$Z$151,$D$60:$D$151,Table!$C$3,$S$60:$S$151,C35)-SUM(SUMIFS($Z$60:$Z$151,$D$60:$D$151,Table!$C$3,$S$60:$S$151,C35,$AA$60:$AA$151,{"Ongoing","N/A",""})))</f>
        <v>0</v>
      </c>
      <c r="G35" s="65" t="str">
        <f t="shared" si="6"/>
        <v>N/A</v>
      </c>
      <c r="H35" s="66" t="str">
        <f t="shared" si="7"/>
        <v>N/A</v>
      </c>
    </row>
    <row r="36" spans="1:12" x14ac:dyDescent="0.25">
      <c r="B36" s="63">
        <v>14</v>
      </c>
      <c r="C36" s="77" t="s">
        <v>763</v>
      </c>
      <c r="D36" s="65">
        <f>SUMIFS($W$60:$W$151,$D$60:$D$151,Table!$C$3,$S$60:$S$151,C36)</f>
        <v>0</v>
      </c>
      <c r="E36" s="65">
        <f>SUMIFS($X$60:$X$151,$D$60:$D$151,Table!$C$3,$S$60:$S$151,C36)-SUM(SUMIFS($X$60:$X$151,$D$60:$D$151,Table!$C$3,$S$60:$S$151,C36,$AA$60:$AA$151,{"Ongoing","N/A",""}))</f>
        <v>0</v>
      </c>
      <c r="F36" s="65">
        <f>1/8*(SUMIFS($Z$60:$Z$151,$D$60:$D$151,Table!$C$3,$S$60:$S$151,C36)-SUM(SUMIFS($Z$60:$Z$151,$D$60:$D$151,Table!$C$3,$S$60:$S$151,C36,$AA$60:$AA$151,{"Ongoing","N/A",""})))</f>
        <v>0</v>
      </c>
      <c r="G36" s="65" t="str">
        <f t="shared" si="6"/>
        <v>N/A</v>
      </c>
      <c r="H36" s="66" t="str">
        <f t="shared" si="7"/>
        <v>N/A</v>
      </c>
    </row>
    <row r="37" spans="1:12" x14ac:dyDescent="0.25">
      <c r="B37" s="61" t="s">
        <v>106</v>
      </c>
      <c r="C37" s="67"/>
      <c r="D37" s="69">
        <f>ROUND(SUMIFS($W$60:$W$151,$D$60:$D$151,Table!$C$3),3)</f>
        <v>364</v>
      </c>
      <c r="E37" s="69">
        <f>ROUND(SUMIFS($W$60:$W$151,$D$60:$D$151,Table!$C$3)-SUM(SUMIFS($W$60:$W$151,$D$60:$D$151,Table!$C$3,$AA$60:$AA$151,{"Ongoing","N/A",""})),3)</f>
        <v>364</v>
      </c>
      <c r="F37" s="69">
        <f>1/8*(SUMIFS($Z$60:$Z$151,$D$60:$D$151,Table!$C$3)-SUM(SUMIFS($Z$60:$Z$151,$D$60:$D$151,Table!$C$3,$AA$60:$AA$151,{"Ongoing","N/A",""})))</f>
        <v>2.5</v>
      </c>
      <c r="G37" s="65">
        <f t="shared" si="4"/>
        <v>145.6</v>
      </c>
      <c r="H37" s="66">
        <f t="shared" si="5"/>
        <v>1</v>
      </c>
      <c r="L37" s="6"/>
    </row>
    <row r="40" spans="1:12" x14ac:dyDescent="0.25">
      <c r="A40" s="1" t="s">
        <v>194</v>
      </c>
      <c r="B40" s="68" t="s">
        <v>107</v>
      </c>
    </row>
    <row r="41" spans="1:12" x14ac:dyDescent="0.25">
      <c r="B41" s="61" t="s">
        <v>0</v>
      </c>
      <c r="C41" s="61" t="s">
        <v>8</v>
      </c>
      <c r="D41" s="61" t="s">
        <v>125</v>
      </c>
      <c r="E41" s="61" t="s">
        <v>53</v>
      </c>
      <c r="F41" s="61" t="s">
        <v>99</v>
      </c>
      <c r="G41" s="61" t="s">
        <v>22</v>
      </c>
      <c r="H41" s="62" t="s">
        <v>24</v>
      </c>
      <c r="I41" s="62" t="s">
        <v>140</v>
      </c>
      <c r="J41" s="62" t="s">
        <v>150</v>
      </c>
    </row>
    <row r="42" spans="1:12" x14ac:dyDescent="0.25">
      <c r="B42" s="63">
        <v>1</v>
      </c>
      <c r="C42" s="77" t="s">
        <v>6</v>
      </c>
      <c r="D42" s="65">
        <f>SUM(D23*Table!$D$4/Table!$C$4,D4)</f>
        <v>0</v>
      </c>
      <c r="E42" s="65">
        <f>SUM(E23*Table!$D$4/Table!$C$4,E4)</f>
        <v>0</v>
      </c>
      <c r="F42" s="65">
        <f t="shared" ref="F42:F55" ca="1" si="8">$K$20</f>
        <v>6</v>
      </c>
      <c r="G42" s="65">
        <f t="shared" ref="G42" ca="1" si="9">IF(ISERROR(E42/(F42)),"N/A",E42/F42)</f>
        <v>0</v>
      </c>
      <c r="H42" s="66" t="str">
        <f t="shared" ref="H42:H56" si="10">IF(ISERROR(E42/D42),"N/A",E42/D42)</f>
        <v>N/A</v>
      </c>
      <c r="I42" s="3">
        <f>COUNTIFS($S$60:$S$60,C42,$AK$60:$AK$60,Table!$C$41)</f>
        <v>0</v>
      </c>
      <c r="J42" s="3">
        <f>COUNTIFS($S$60:$S$60,C42,$AK$60:$AK$60,Table!$C$42)</f>
        <v>0</v>
      </c>
    </row>
    <row r="43" spans="1:12" x14ac:dyDescent="0.25">
      <c r="B43" s="63">
        <v>2</v>
      </c>
      <c r="C43" s="73" t="s">
        <v>64</v>
      </c>
      <c r="D43" s="65">
        <f>SUM(D24*Table!$D$4/Table!$C$4,D5)</f>
        <v>0</v>
      </c>
      <c r="E43" s="65">
        <f>SUM(E24*Table!$D$4/Table!$C$4,E5)</f>
        <v>0</v>
      </c>
      <c r="F43" s="65">
        <f t="shared" ca="1" si="8"/>
        <v>6</v>
      </c>
      <c r="G43" s="65">
        <f ca="1">IF(ISERROR(E43/(F43)),"N/A",E43/F43)</f>
        <v>0</v>
      </c>
      <c r="H43" s="66" t="str">
        <f t="shared" si="10"/>
        <v>N/A</v>
      </c>
      <c r="I43" s="3">
        <f>COUNTIFS($S$60:$S$60,C43,$AK$60:$AK$60,Table!$C$41)</f>
        <v>0</v>
      </c>
      <c r="J43" s="3">
        <f>COUNTIFS($S$60:$S$60,C43,$AK$60:$AK$60,Table!$C$42)</f>
        <v>0</v>
      </c>
    </row>
    <row r="44" spans="1:12" x14ac:dyDescent="0.25">
      <c r="B44" s="63">
        <v>3</v>
      </c>
      <c r="C44" s="77" t="s">
        <v>65</v>
      </c>
      <c r="D44" s="65">
        <f>SUM(D25*Table!$D$4/Table!$C$4,D6)</f>
        <v>0</v>
      </c>
      <c r="E44" s="65">
        <f>SUM(E25*Table!$D$4/Table!$C$4,E6)</f>
        <v>0</v>
      </c>
      <c r="F44" s="65">
        <f t="shared" ca="1" si="8"/>
        <v>6</v>
      </c>
      <c r="G44" s="65">
        <f t="shared" ref="G44:G50" ca="1" si="11">IF(ISERROR(E44/(F44)),"N/A",E44/F44)</f>
        <v>0</v>
      </c>
      <c r="H44" s="66" t="str">
        <f t="shared" si="10"/>
        <v>N/A</v>
      </c>
      <c r="I44" s="3">
        <f>COUNTIFS($S$60:$S$60,C44,$AK$60:$AK$60,Table!$C$41)</f>
        <v>0</v>
      </c>
      <c r="J44" s="3">
        <f>COUNTIFS($S$60:$S$60,C44,$AK$60:$AK$60,Table!$C$42)</f>
        <v>0</v>
      </c>
    </row>
    <row r="45" spans="1:12" x14ac:dyDescent="0.25">
      <c r="B45" s="63">
        <v>4</v>
      </c>
      <c r="C45" s="73" t="s">
        <v>66</v>
      </c>
      <c r="D45" s="65">
        <f>SUM(D26*Table!$D$4/Table!$C$4,D7)</f>
        <v>945</v>
      </c>
      <c r="E45" s="65">
        <f>SUM(E26*Table!$D$4/Table!$C$4,E7)</f>
        <v>945</v>
      </c>
      <c r="F45" s="65">
        <f t="shared" ca="1" si="8"/>
        <v>6</v>
      </c>
      <c r="G45" s="65">
        <f t="shared" ca="1" si="11"/>
        <v>157.5</v>
      </c>
      <c r="H45" s="66">
        <f t="shared" si="10"/>
        <v>1</v>
      </c>
      <c r="I45" s="3">
        <f>COUNTIFS($S$60:$S$60,C45,$AK$60:$AK$60,Table!$C$41)</f>
        <v>0</v>
      </c>
      <c r="J45" s="3">
        <f>COUNTIFS($S$60:$S$60,C45,$AK$60:$AK$60,Table!$C$42)</f>
        <v>0</v>
      </c>
    </row>
    <row r="46" spans="1:12" x14ac:dyDescent="0.25">
      <c r="B46" s="63">
        <v>5</v>
      </c>
      <c r="C46" s="64" t="s">
        <v>67</v>
      </c>
      <c r="D46" s="65">
        <f>SUM(D27*Table!$D$4/Table!$C$4,D8)</f>
        <v>0</v>
      </c>
      <c r="E46" s="65">
        <f>SUM(E27*Table!$D$4/Table!$C$4,E8)</f>
        <v>0</v>
      </c>
      <c r="F46" s="65">
        <f t="shared" ca="1" si="8"/>
        <v>6</v>
      </c>
      <c r="G46" s="65">
        <f t="shared" ca="1" si="11"/>
        <v>0</v>
      </c>
      <c r="H46" s="66" t="str">
        <f t="shared" si="10"/>
        <v>N/A</v>
      </c>
      <c r="I46" s="3">
        <f>COUNTIFS($S$60:$S$60,C46,$AK$60:$AK$60,Table!$C$41)</f>
        <v>0</v>
      </c>
      <c r="J46" s="3">
        <f>COUNTIFS($S$60:$S$60,C46,$AK$60:$AK$60,Table!$C$42)</f>
        <v>0</v>
      </c>
    </row>
    <row r="47" spans="1:12" x14ac:dyDescent="0.25">
      <c r="B47" s="63">
        <v>6</v>
      </c>
      <c r="C47" s="64" t="s">
        <v>68</v>
      </c>
      <c r="D47" s="65">
        <f>SUM(D28*Table!$D$4/Table!$C$4,D9)</f>
        <v>0</v>
      </c>
      <c r="E47" s="65">
        <f>SUM(E28*Table!$D$4/Table!$C$4,E9)</f>
        <v>0</v>
      </c>
      <c r="F47" s="65">
        <f t="shared" ca="1" si="8"/>
        <v>6</v>
      </c>
      <c r="G47" s="65">
        <f t="shared" ca="1" si="11"/>
        <v>0</v>
      </c>
      <c r="H47" s="66" t="str">
        <f t="shared" si="10"/>
        <v>N/A</v>
      </c>
      <c r="I47" s="3">
        <f>COUNTIFS($S$60:$S$60,C47,$AK$60:$AK$60,Table!$C$41)</f>
        <v>0</v>
      </c>
      <c r="J47" s="3">
        <f>COUNTIFS($S$60:$S$60,C47,$AK$60:$AK$60,Table!$C$42)</f>
        <v>0</v>
      </c>
    </row>
    <row r="48" spans="1:12" x14ac:dyDescent="0.25">
      <c r="B48" s="63">
        <v>7</v>
      </c>
      <c r="C48" s="64" t="s">
        <v>69</v>
      </c>
      <c r="D48" s="65">
        <f>SUM(D29*Table!$D$4/Table!$C$4,D10)</f>
        <v>0</v>
      </c>
      <c r="E48" s="65">
        <f>SUM(E29*Table!$D$4/Table!$C$4,E10)</f>
        <v>0</v>
      </c>
      <c r="F48" s="65">
        <f t="shared" ca="1" si="8"/>
        <v>6</v>
      </c>
      <c r="G48" s="65">
        <f t="shared" ca="1" si="11"/>
        <v>0</v>
      </c>
      <c r="H48" s="66" t="str">
        <f t="shared" si="10"/>
        <v>N/A</v>
      </c>
      <c r="I48" s="3">
        <f>COUNTIFS($S$60:$S$60,C48,$AK$60:$AK$60,Table!$C$41)</f>
        <v>0</v>
      </c>
      <c r="J48" s="3">
        <f>COUNTIFS($S$60:$S$60,C48,$AK$60:$AK$60,Table!$C$42)</f>
        <v>0</v>
      </c>
    </row>
    <row r="49" spans="2:40" x14ac:dyDescent="0.25">
      <c r="B49" s="63">
        <v>8</v>
      </c>
      <c r="C49" s="64" t="s">
        <v>70</v>
      </c>
      <c r="D49" s="65">
        <f>SUM(D30*Table!$D$4/Table!$C$4,D11)</f>
        <v>0</v>
      </c>
      <c r="E49" s="65">
        <f>SUM(E30*Table!$D$4/Table!$C$4,E11)</f>
        <v>0</v>
      </c>
      <c r="F49" s="65">
        <f t="shared" ca="1" si="8"/>
        <v>6</v>
      </c>
      <c r="G49" s="65">
        <f t="shared" ca="1" si="11"/>
        <v>0</v>
      </c>
      <c r="H49" s="66" t="str">
        <f t="shared" si="10"/>
        <v>N/A</v>
      </c>
      <c r="I49" s="3">
        <f>COUNTIFS($S$60:$S$60,C49,$AK$60:$AK$60,Table!$C$41)</f>
        <v>0</v>
      </c>
      <c r="J49" s="3">
        <f>COUNTIFS($S$60:$S$60,C49,$AK$60:$AK$60,Table!$C$42)</f>
        <v>0</v>
      </c>
    </row>
    <row r="50" spans="2:40" x14ac:dyDescent="0.25">
      <c r="B50" s="63">
        <v>9</v>
      </c>
      <c r="C50" s="73" t="s">
        <v>142</v>
      </c>
      <c r="D50" s="65">
        <f>SUM(D31*Table!$D$4/Table!$C$4,D12)</f>
        <v>6916.5</v>
      </c>
      <c r="E50" s="65">
        <f>SUM(E31*Table!$D$4/Table!$C$4,E12)</f>
        <v>2160</v>
      </c>
      <c r="F50" s="65">
        <f t="shared" ca="1" si="8"/>
        <v>6</v>
      </c>
      <c r="G50" s="65">
        <f t="shared" ca="1" si="11"/>
        <v>360</v>
      </c>
      <c r="H50" s="66">
        <f t="shared" si="10"/>
        <v>0.31229668184775539</v>
      </c>
      <c r="I50" s="3">
        <f>COUNTIFS($S$60:$S$60,C50,$AK$60:$AK$60,Table!$C$41)</f>
        <v>0</v>
      </c>
      <c r="J50" s="3">
        <f>COUNTIFS($S$60:$S$60,C50,$AK$60:$AK$60,Table!$C$42)</f>
        <v>0</v>
      </c>
    </row>
    <row r="51" spans="2:40" x14ac:dyDescent="0.25">
      <c r="B51" s="63">
        <v>10</v>
      </c>
      <c r="C51" s="77" t="s">
        <v>143</v>
      </c>
      <c r="D51" s="65">
        <f>SUM(D32*Table!$D$4/Table!$C$4,D13)</f>
        <v>0</v>
      </c>
      <c r="E51" s="65">
        <f>SUM(E32*Table!$D$4/Table!$C$4,E13)</f>
        <v>0</v>
      </c>
      <c r="F51" s="65">
        <f t="shared" ca="1" si="8"/>
        <v>6</v>
      </c>
      <c r="G51" s="65">
        <f t="shared" ref="G51:G55" ca="1" si="12">IF(ISERROR(E51/(F51)),"N/A",E51/F51)</f>
        <v>0</v>
      </c>
      <c r="H51" s="66" t="str">
        <f t="shared" ref="H51:H55" si="13">IF(ISERROR(E51/D51),"N/A",E51/D51)</f>
        <v>N/A</v>
      </c>
      <c r="I51" s="3">
        <f>COUNTIFS($S$60:$S$60,C51,$AK$60:$AK$60,Table!$C$41)</f>
        <v>0</v>
      </c>
      <c r="J51" s="3">
        <f>COUNTIFS($S$60:$S$60,C51,$AK$60:$AK$60,Table!$C$42)</f>
        <v>0</v>
      </c>
    </row>
    <row r="52" spans="2:40" x14ac:dyDescent="0.25">
      <c r="B52" s="63">
        <v>11</v>
      </c>
      <c r="C52" s="73" t="s">
        <v>760</v>
      </c>
      <c r="D52" s="65">
        <f>SUM(D33*Table!$D$4/Table!$C$4,D14)</f>
        <v>2578.5</v>
      </c>
      <c r="E52" s="65">
        <f>SUM(E33*Table!$D$4/Table!$C$4,E14)</f>
        <v>0</v>
      </c>
      <c r="F52" s="65">
        <f t="shared" ca="1" si="8"/>
        <v>6</v>
      </c>
      <c r="G52" s="65">
        <f t="shared" ca="1" si="12"/>
        <v>0</v>
      </c>
      <c r="H52" s="66">
        <f t="shared" si="13"/>
        <v>0</v>
      </c>
      <c r="I52" s="3">
        <f>COUNTIFS($S$60:$S$60,C52,$AK$60:$AK$60,Table!$C$41)</f>
        <v>0</v>
      </c>
      <c r="J52" s="3">
        <f>COUNTIFS($S$60:$S$60,C52,$AK$60:$AK$60,Table!$C$42)</f>
        <v>0</v>
      </c>
    </row>
    <row r="53" spans="2:40" x14ac:dyDescent="0.25">
      <c r="B53" s="63">
        <v>12</v>
      </c>
      <c r="C53" s="77" t="s">
        <v>761</v>
      </c>
      <c r="D53" s="65">
        <f>SUM(D34*Table!$D$4/Table!$C$4,D15)</f>
        <v>0</v>
      </c>
      <c r="E53" s="65">
        <f>SUM(E34*Table!$D$4/Table!$C$4,E15)</f>
        <v>0</v>
      </c>
      <c r="F53" s="65">
        <f t="shared" ca="1" si="8"/>
        <v>6</v>
      </c>
      <c r="G53" s="65">
        <f t="shared" ca="1" si="12"/>
        <v>0</v>
      </c>
      <c r="H53" s="66" t="str">
        <f t="shared" si="13"/>
        <v>N/A</v>
      </c>
      <c r="I53" s="3">
        <f>COUNTIFS($S$60:$S$60,C53,$AK$60:$AK$60,Table!$C$41)</f>
        <v>0</v>
      </c>
      <c r="J53" s="3">
        <f>COUNTIFS($S$60:$S$60,C53,$AK$60:$AK$60,Table!$C$42)</f>
        <v>0</v>
      </c>
    </row>
    <row r="54" spans="2:40" x14ac:dyDescent="0.25">
      <c r="B54" s="63">
        <v>13</v>
      </c>
      <c r="C54" s="77" t="s">
        <v>762</v>
      </c>
      <c r="D54" s="65">
        <f>SUM(D35*Table!$D$4/Table!$C$4,D16)</f>
        <v>0</v>
      </c>
      <c r="E54" s="65">
        <f>SUM(E35*Table!$D$4/Table!$C$4,E16)</f>
        <v>0</v>
      </c>
      <c r="F54" s="65">
        <f t="shared" ca="1" si="8"/>
        <v>6</v>
      </c>
      <c r="G54" s="65">
        <f t="shared" ca="1" si="12"/>
        <v>0</v>
      </c>
      <c r="H54" s="66" t="str">
        <f t="shared" si="13"/>
        <v>N/A</v>
      </c>
      <c r="I54" s="3">
        <f>COUNTIFS($S$60:$S$60,C54,$AK$60:$AK$60,Table!$C$41)</f>
        <v>0</v>
      </c>
      <c r="J54" s="3">
        <f>COUNTIFS($S$60:$S$60,C54,$AK$60:$AK$60,Table!$C$42)</f>
        <v>0</v>
      </c>
    </row>
    <row r="55" spans="2:40" x14ac:dyDescent="0.25">
      <c r="B55" s="63">
        <v>14</v>
      </c>
      <c r="C55" s="77" t="s">
        <v>763</v>
      </c>
      <c r="D55" s="65">
        <f>SUM(D36*Table!$D$4/Table!$C$4,D17)</f>
        <v>0</v>
      </c>
      <c r="E55" s="65">
        <f>SUM(E36*Table!$D$4/Table!$C$4,E17)</f>
        <v>0</v>
      </c>
      <c r="F55" s="65">
        <f t="shared" ca="1" si="8"/>
        <v>6</v>
      </c>
      <c r="G55" s="65">
        <f t="shared" ca="1" si="12"/>
        <v>0</v>
      </c>
      <c r="H55" s="66" t="str">
        <f t="shared" si="13"/>
        <v>N/A</v>
      </c>
      <c r="I55" s="3">
        <f>COUNTIFS($S$60:$S$60,C55,$AK$60:$AK$60,Table!$C$41)</f>
        <v>0</v>
      </c>
      <c r="J55" s="3">
        <f>COUNTIFS($S$60:$S$60,C55,$AK$60:$AK$60,Table!$C$42)</f>
        <v>0</v>
      </c>
    </row>
    <row r="56" spans="2:40" x14ac:dyDescent="0.25">
      <c r="B56" s="61" t="s">
        <v>106</v>
      </c>
      <c r="C56" s="67"/>
      <c r="D56" s="65">
        <f>SUM(D42:D55)</f>
        <v>10440</v>
      </c>
      <c r="E56" s="65">
        <f>SUM(E42:E55)</f>
        <v>3105</v>
      </c>
      <c r="F56" s="65">
        <f ca="1">$K$20*5</f>
        <v>30</v>
      </c>
      <c r="G56" s="65">
        <f ca="1">IF(ISERROR(E56/(F56)),"N/A",E56/F56)</f>
        <v>103.5</v>
      </c>
      <c r="H56" s="66">
        <f t="shared" si="10"/>
        <v>0.29741379310344829</v>
      </c>
      <c r="I56" s="3">
        <f>SUM(I42:I55)</f>
        <v>0</v>
      </c>
      <c r="J56" s="3">
        <f>SUM(J42:J55)</f>
        <v>0</v>
      </c>
    </row>
    <row r="59" spans="2:40" x14ac:dyDescent="0.25">
      <c r="B59" s="56" t="s">
        <v>0</v>
      </c>
      <c r="C59" s="56" t="s">
        <v>63</v>
      </c>
      <c r="D59" s="56" t="s">
        <v>1</v>
      </c>
      <c r="E59" s="56" t="s">
        <v>56</v>
      </c>
      <c r="F59" s="56" t="s">
        <v>57</v>
      </c>
      <c r="G59" s="56" t="s">
        <v>144</v>
      </c>
      <c r="H59" s="56" t="s">
        <v>110</v>
      </c>
      <c r="I59" s="56" t="s">
        <v>58</v>
      </c>
      <c r="J59" s="56" t="s">
        <v>109</v>
      </c>
      <c r="K59" s="56" t="s">
        <v>145</v>
      </c>
      <c r="L59" s="56" t="s">
        <v>72</v>
      </c>
      <c r="M59" s="56" t="s">
        <v>148</v>
      </c>
      <c r="N59" s="56" t="s">
        <v>71</v>
      </c>
      <c r="O59" s="56" t="s">
        <v>62</v>
      </c>
      <c r="P59" s="56" t="s">
        <v>80</v>
      </c>
      <c r="Q59" s="53" t="s">
        <v>55</v>
      </c>
      <c r="R59" s="57" t="s">
        <v>7</v>
      </c>
      <c r="S59" s="57" t="s">
        <v>8</v>
      </c>
      <c r="T59" s="57" t="s">
        <v>78</v>
      </c>
      <c r="U59" s="57" t="s">
        <v>92</v>
      </c>
      <c r="V59" s="57" t="s">
        <v>75</v>
      </c>
      <c r="W59" s="57" t="s">
        <v>76</v>
      </c>
      <c r="X59" s="57" t="s">
        <v>53</v>
      </c>
      <c r="Y59" s="57" t="s">
        <v>79</v>
      </c>
      <c r="Z59" s="57" t="s">
        <v>54</v>
      </c>
      <c r="AA59" s="57" t="s">
        <v>17</v>
      </c>
      <c r="AB59" s="57" t="s">
        <v>162</v>
      </c>
      <c r="AC59" s="57" t="s">
        <v>59</v>
      </c>
      <c r="AD59" s="57" t="s">
        <v>60</v>
      </c>
      <c r="AE59" s="56" t="s">
        <v>12</v>
      </c>
      <c r="AF59" s="56" t="s">
        <v>13</v>
      </c>
      <c r="AG59" s="56" t="s">
        <v>77</v>
      </c>
      <c r="AH59" s="56" t="s">
        <v>14</v>
      </c>
      <c r="AI59" s="56" t="s">
        <v>15</v>
      </c>
      <c r="AJ59" s="57" t="s">
        <v>16</v>
      </c>
      <c r="AK59" s="56" t="s">
        <v>146</v>
      </c>
      <c r="AL59" s="57" t="s">
        <v>139</v>
      </c>
      <c r="AM59" s="57" t="s">
        <v>138</v>
      </c>
      <c r="AN59" s="57" t="s">
        <v>81</v>
      </c>
    </row>
    <row r="60" spans="2:40" x14ac:dyDescent="0.25">
      <c r="B60" s="169">
        <v>1</v>
      </c>
      <c r="C60" s="16">
        <v>20200511</v>
      </c>
      <c r="D60" s="15" t="s">
        <v>2</v>
      </c>
      <c r="E60" s="81" t="s">
        <v>213</v>
      </c>
      <c r="F60" s="17" t="s">
        <v>172</v>
      </c>
      <c r="G60" s="52" t="s">
        <v>61</v>
      </c>
      <c r="H60" s="15" t="s">
        <v>286</v>
      </c>
      <c r="I60" s="15" t="s">
        <v>284</v>
      </c>
      <c r="J60" s="15" t="s">
        <v>214</v>
      </c>
      <c r="K60" s="52" t="s">
        <v>61</v>
      </c>
      <c r="L60" s="52" t="s">
        <v>61</v>
      </c>
      <c r="M60" s="52" t="s">
        <v>61</v>
      </c>
      <c r="N60" s="15" t="s">
        <v>224</v>
      </c>
      <c r="O60" s="17" t="s">
        <v>285</v>
      </c>
      <c r="P60" s="17" t="s">
        <v>215</v>
      </c>
      <c r="Q60" s="18"/>
      <c r="R60" s="109" t="s">
        <v>94</v>
      </c>
      <c r="S60" s="15" t="s">
        <v>142</v>
      </c>
      <c r="T60" s="15"/>
      <c r="U60" s="15"/>
      <c r="V60" s="15">
        <v>418</v>
      </c>
      <c r="W60" s="15">
        <f>ROUND(IF(D60=Table!$C$3,Y60*Table!$C$4/8,Y60*Table!$D$4/8),3)</f>
        <v>364</v>
      </c>
      <c r="X60" s="15">
        <f>W60</f>
        <v>364</v>
      </c>
      <c r="Y60" s="15">
        <v>22.4</v>
      </c>
      <c r="Z60" s="15">
        <v>20</v>
      </c>
      <c r="AA60" s="15" t="s">
        <v>21</v>
      </c>
      <c r="AB60" s="19">
        <v>43976</v>
      </c>
      <c r="AC60" s="19">
        <v>43970</v>
      </c>
      <c r="AD60" s="19">
        <v>43977</v>
      </c>
      <c r="AE60" s="19">
        <v>43973</v>
      </c>
      <c r="AF60" s="19">
        <v>43976</v>
      </c>
      <c r="AG60" s="19" t="s">
        <v>177</v>
      </c>
      <c r="AH60" s="31">
        <v>0.99399999999999999</v>
      </c>
      <c r="AI60" s="31">
        <v>0.995</v>
      </c>
      <c r="AJ60" s="31">
        <v>0.98499999999999999</v>
      </c>
      <c r="AK60" s="142" t="s">
        <v>151</v>
      </c>
      <c r="AL60" s="142" t="s">
        <v>465</v>
      </c>
      <c r="AM60" s="15"/>
      <c r="AN60" s="15"/>
    </row>
    <row r="61" spans="2:40" x14ac:dyDescent="0.25">
      <c r="B61" s="169">
        <f>B60+1</f>
        <v>2</v>
      </c>
      <c r="C61" s="16">
        <v>20200525</v>
      </c>
      <c r="D61" s="16" t="s">
        <v>3</v>
      </c>
      <c r="E61" s="150" t="s">
        <v>682</v>
      </c>
      <c r="F61" s="101" t="s">
        <v>734</v>
      </c>
      <c r="G61" s="52" t="s">
        <v>61</v>
      </c>
      <c r="H61" s="16" t="s">
        <v>745</v>
      </c>
      <c r="I61" s="16" t="s">
        <v>737</v>
      </c>
      <c r="J61" s="101" t="s">
        <v>61</v>
      </c>
      <c r="K61" s="52" t="s">
        <v>61</v>
      </c>
      <c r="L61" s="52" t="s">
        <v>61</v>
      </c>
      <c r="M61" s="52" t="s">
        <v>61</v>
      </c>
      <c r="N61" s="16" t="s">
        <v>753</v>
      </c>
      <c r="O61" s="101" t="s">
        <v>61</v>
      </c>
      <c r="P61" s="101" t="s">
        <v>754</v>
      </c>
      <c r="Q61" s="18"/>
      <c r="R61" s="109" t="s">
        <v>94</v>
      </c>
      <c r="S61" s="16" t="s">
        <v>142</v>
      </c>
      <c r="T61" s="16"/>
      <c r="U61" s="16"/>
      <c r="V61" s="16">
        <v>207</v>
      </c>
      <c r="W61" s="15">
        <f>ROUND(IF(D61=Table!$C$3,Y61*Table!$C$4/8,Y61*Table!$D$4/8),3)</f>
        <v>202.5</v>
      </c>
      <c r="X61" s="15">
        <f t="shared" ref="X61:X68" si="14">W61</f>
        <v>202.5</v>
      </c>
      <c r="Y61" s="16">
        <v>3.6</v>
      </c>
      <c r="Z61" s="16">
        <v>3</v>
      </c>
      <c r="AA61" s="15" t="s">
        <v>21</v>
      </c>
      <c r="AB61" s="102">
        <v>43979</v>
      </c>
      <c r="AC61" s="19">
        <v>43976</v>
      </c>
      <c r="AD61" s="102">
        <v>43980</v>
      </c>
      <c r="AE61" s="102">
        <v>43977</v>
      </c>
      <c r="AF61" s="102">
        <v>43978</v>
      </c>
      <c r="AG61" s="102" t="s">
        <v>177</v>
      </c>
      <c r="AH61" s="103">
        <v>1</v>
      </c>
      <c r="AI61" s="103">
        <v>1</v>
      </c>
      <c r="AJ61" s="103">
        <v>1</v>
      </c>
      <c r="AK61" s="168" t="s">
        <v>151</v>
      </c>
      <c r="AL61" s="142"/>
      <c r="AM61" s="15"/>
      <c r="AN61" s="15"/>
    </row>
    <row r="62" spans="2:40" x14ac:dyDescent="0.25">
      <c r="B62" s="169">
        <f t="shared" ref="B62:B114" si="15">B61+1</f>
        <v>3</v>
      </c>
      <c r="C62" s="16">
        <v>20200525</v>
      </c>
      <c r="D62" s="16" t="s">
        <v>3</v>
      </c>
      <c r="E62" s="150" t="s">
        <v>682</v>
      </c>
      <c r="F62" s="101" t="s">
        <v>735</v>
      </c>
      <c r="G62" s="52" t="s">
        <v>61</v>
      </c>
      <c r="H62" s="16" t="s">
        <v>746</v>
      </c>
      <c r="I62" s="16" t="s">
        <v>738</v>
      </c>
      <c r="J62" s="101" t="s">
        <v>61</v>
      </c>
      <c r="K62" s="52" t="s">
        <v>61</v>
      </c>
      <c r="L62" s="52" t="s">
        <v>61</v>
      </c>
      <c r="M62" s="52" t="s">
        <v>61</v>
      </c>
      <c r="N62" s="16" t="s">
        <v>753</v>
      </c>
      <c r="O62" s="101" t="s">
        <v>61</v>
      </c>
      <c r="P62" s="101" t="s">
        <v>754</v>
      </c>
      <c r="Q62" s="18"/>
      <c r="R62" s="109" t="s">
        <v>95</v>
      </c>
      <c r="S62" s="16" t="s">
        <v>66</v>
      </c>
      <c r="T62" s="16"/>
      <c r="U62" s="16"/>
      <c r="V62" s="16">
        <v>322</v>
      </c>
      <c r="W62" s="15">
        <f>ROUND(IF(D62=Table!$C$3,Y62*Table!$C$4/8,Y62*Table!$D$4/8),3)</f>
        <v>337.5</v>
      </c>
      <c r="X62" s="15">
        <f t="shared" si="14"/>
        <v>337.5</v>
      </c>
      <c r="Y62" s="16">
        <v>6</v>
      </c>
      <c r="Z62" s="16">
        <v>2</v>
      </c>
      <c r="AA62" s="15" t="s">
        <v>21</v>
      </c>
      <c r="AB62" s="102">
        <v>43979</v>
      </c>
      <c r="AC62" s="19">
        <v>43976</v>
      </c>
      <c r="AD62" s="102">
        <v>43980</v>
      </c>
      <c r="AE62" s="102">
        <v>43978</v>
      </c>
      <c r="AF62" s="102">
        <v>43978</v>
      </c>
      <c r="AG62" s="102" t="s">
        <v>177</v>
      </c>
      <c r="AH62" s="103">
        <v>1</v>
      </c>
      <c r="AI62" s="103">
        <v>1</v>
      </c>
      <c r="AJ62" s="103">
        <v>0.9</v>
      </c>
      <c r="AK62" s="168" t="s">
        <v>151</v>
      </c>
      <c r="AL62" s="142" t="s">
        <v>755</v>
      </c>
      <c r="AM62" s="15"/>
      <c r="AN62" s="15"/>
    </row>
    <row r="63" spans="2:40" x14ac:dyDescent="0.25">
      <c r="B63" s="169">
        <f t="shared" si="15"/>
        <v>4</v>
      </c>
      <c r="C63" s="16">
        <v>20200525</v>
      </c>
      <c r="D63" s="16" t="s">
        <v>3</v>
      </c>
      <c r="E63" s="150" t="s">
        <v>682</v>
      </c>
      <c r="F63" s="101" t="s">
        <v>735</v>
      </c>
      <c r="G63" s="52" t="s">
        <v>61</v>
      </c>
      <c r="H63" s="16" t="s">
        <v>747</v>
      </c>
      <c r="I63" s="16" t="s">
        <v>739</v>
      </c>
      <c r="J63" s="101" t="s">
        <v>61</v>
      </c>
      <c r="K63" s="52" t="s">
        <v>61</v>
      </c>
      <c r="L63" s="52" t="s">
        <v>61</v>
      </c>
      <c r="M63" s="52" t="s">
        <v>61</v>
      </c>
      <c r="N63" s="16" t="s">
        <v>753</v>
      </c>
      <c r="O63" s="101" t="s">
        <v>61</v>
      </c>
      <c r="P63" s="101" t="s">
        <v>754</v>
      </c>
      <c r="Q63" s="18"/>
      <c r="R63" s="109" t="s">
        <v>94</v>
      </c>
      <c r="S63" s="16" t="s">
        <v>142</v>
      </c>
      <c r="T63" s="16"/>
      <c r="U63" s="16"/>
      <c r="V63" s="16">
        <v>787</v>
      </c>
      <c r="W63" s="15">
        <f>ROUND(IF(D63=Table!$C$3,Y63*Table!$C$4/8,Y63*Table!$D$4/8),3)</f>
        <v>697.5</v>
      </c>
      <c r="X63" s="15">
        <f t="shared" si="14"/>
        <v>697.5</v>
      </c>
      <c r="Y63" s="16">
        <v>12.4</v>
      </c>
      <c r="Z63" s="16">
        <v>10</v>
      </c>
      <c r="AA63" s="15" t="s">
        <v>21</v>
      </c>
      <c r="AB63" s="102">
        <v>43979</v>
      </c>
      <c r="AC63" s="19">
        <v>43976</v>
      </c>
      <c r="AD63" s="102">
        <v>43980</v>
      </c>
      <c r="AE63" s="102">
        <v>43978</v>
      </c>
      <c r="AF63" s="102">
        <v>43978</v>
      </c>
      <c r="AG63" s="102" t="s">
        <v>177</v>
      </c>
      <c r="AH63" s="103">
        <v>0.98</v>
      </c>
      <c r="AI63" s="103">
        <v>0.98</v>
      </c>
      <c r="AJ63" s="103">
        <v>1</v>
      </c>
      <c r="AK63" s="168" t="s">
        <v>151</v>
      </c>
      <c r="AL63" s="142" t="s">
        <v>724</v>
      </c>
      <c r="AM63" s="15"/>
      <c r="AN63" s="15"/>
    </row>
    <row r="64" spans="2:40" x14ac:dyDescent="0.25">
      <c r="B64" s="169">
        <f t="shared" si="15"/>
        <v>5</v>
      </c>
      <c r="C64" s="16">
        <v>20200525</v>
      </c>
      <c r="D64" s="16" t="s">
        <v>3</v>
      </c>
      <c r="E64" s="150" t="s">
        <v>682</v>
      </c>
      <c r="F64" s="101" t="s">
        <v>735</v>
      </c>
      <c r="G64" s="52" t="s">
        <v>61</v>
      </c>
      <c r="H64" s="16" t="s">
        <v>748</v>
      </c>
      <c r="I64" s="16" t="s">
        <v>740</v>
      </c>
      <c r="J64" s="101" t="s">
        <v>61</v>
      </c>
      <c r="K64" s="52" t="s">
        <v>61</v>
      </c>
      <c r="L64" s="52" t="s">
        <v>61</v>
      </c>
      <c r="M64" s="52" t="s">
        <v>61</v>
      </c>
      <c r="N64" s="16" t="s">
        <v>753</v>
      </c>
      <c r="O64" s="101" t="s">
        <v>61</v>
      </c>
      <c r="P64" s="101" t="s">
        <v>754</v>
      </c>
      <c r="Q64" s="18"/>
      <c r="R64" s="109" t="s">
        <v>95</v>
      </c>
      <c r="S64" s="16" t="s">
        <v>66</v>
      </c>
      <c r="T64" s="16"/>
      <c r="U64" s="16"/>
      <c r="V64" s="16">
        <v>114</v>
      </c>
      <c r="W64" s="15">
        <f>ROUND(IF(D64=Table!$C$3,Y64*Table!$C$4/8,Y64*Table!$D$4/8),3)</f>
        <v>112.5</v>
      </c>
      <c r="X64" s="15">
        <f t="shared" si="14"/>
        <v>112.5</v>
      </c>
      <c r="Y64" s="16">
        <v>2</v>
      </c>
      <c r="Z64" s="16">
        <v>2</v>
      </c>
      <c r="AA64" s="15" t="s">
        <v>21</v>
      </c>
      <c r="AB64" s="102">
        <v>43979</v>
      </c>
      <c r="AC64" s="19">
        <v>43976</v>
      </c>
      <c r="AD64" s="102">
        <v>43980</v>
      </c>
      <c r="AE64" s="102">
        <v>43978</v>
      </c>
      <c r="AF64" s="102">
        <v>43978</v>
      </c>
      <c r="AG64" s="102" t="s">
        <v>177</v>
      </c>
      <c r="AH64" s="103">
        <v>0.96</v>
      </c>
      <c r="AI64" s="103">
        <v>0.95</v>
      </c>
      <c r="AJ64" s="103">
        <v>1</v>
      </c>
      <c r="AK64" s="168" t="s">
        <v>151</v>
      </c>
      <c r="AL64" s="142" t="s">
        <v>679</v>
      </c>
      <c r="AM64" s="15"/>
      <c r="AN64" s="15"/>
    </row>
    <row r="65" spans="2:40" x14ac:dyDescent="0.25">
      <c r="B65" s="169">
        <f t="shared" si="15"/>
        <v>6</v>
      </c>
      <c r="C65" s="16">
        <v>20200525</v>
      </c>
      <c r="D65" s="16" t="s">
        <v>3</v>
      </c>
      <c r="E65" s="150" t="s">
        <v>682</v>
      </c>
      <c r="F65" s="101" t="s">
        <v>735</v>
      </c>
      <c r="G65" s="52" t="s">
        <v>61</v>
      </c>
      <c r="H65" s="16" t="s">
        <v>749</v>
      </c>
      <c r="I65" s="16" t="s">
        <v>741</v>
      </c>
      <c r="J65" s="101" t="s">
        <v>61</v>
      </c>
      <c r="K65" s="52" t="s">
        <v>61</v>
      </c>
      <c r="L65" s="52" t="s">
        <v>61</v>
      </c>
      <c r="M65" s="52" t="s">
        <v>61</v>
      </c>
      <c r="N65" s="16" t="s">
        <v>753</v>
      </c>
      <c r="O65" s="101" t="s">
        <v>61</v>
      </c>
      <c r="P65" s="101" t="s">
        <v>754</v>
      </c>
      <c r="Q65" s="18"/>
      <c r="R65" s="109" t="s">
        <v>95</v>
      </c>
      <c r="S65" s="16" t="s">
        <v>66</v>
      </c>
      <c r="T65" s="16"/>
      <c r="U65" s="16"/>
      <c r="V65" s="16">
        <v>111</v>
      </c>
      <c r="W65" s="15">
        <f>ROUND(IF(D65=Table!$C$3,Y65*Table!$C$4/8,Y65*Table!$D$4/8),3)</f>
        <v>112.5</v>
      </c>
      <c r="X65" s="15">
        <f t="shared" si="14"/>
        <v>112.5</v>
      </c>
      <c r="Y65" s="16">
        <v>2</v>
      </c>
      <c r="Z65" s="16">
        <v>2</v>
      </c>
      <c r="AA65" s="15" t="s">
        <v>21</v>
      </c>
      <c r="AB65" s="102">
        <v>43979</v>
      </c>
      <c r="AC65" s="19">
        <v>43976</v>
      </c>
      <c r="AD65" s="102">
        <v>43980</v>
      </c>
      <c r="AE65" s="102">
        <v>43978</v>
      </c>
      <c r="AF65" s="102">
        <v>43978</v>
      </c>
      <c r="AG65" s="102" t="s">
        <v>177</v>
      </c>
      <c r="AH65" s="103">
        <v>1</v>
      </c>
      <c r="AI65" s="103">
        <v>1</v>
      </c>
      <c r="AJ65" s="103">
        <v>1</v>
      </c>
      <c r="AK65" s="168" t="s">
        <v>151</v>
      </c>
      <c r="AL65" s="142"/>
      <c r="AM65" s="15"/>
      <c r="AN65" s="15"/>
    </row>
    <row r="66" spans="2:40" x14ac:dyDescent="0.25">
      <c r="B66" s="169">
        <f t="shared" si="15"/>
        <v>7</v>
      </c>
      <c r="C66" s="16">
        <v>20200525</v>
      </c>
      <c r="D66" s="16" t="s">
        <v>3</v>
      </c>
      <c r="E66" s="150" t="s">
        <v>682</v>
      </c>
      <c r="F66" s="101" t="s">
        <v>736</v>
      </c>
      <c r="G66" s="52" t="s">
        <v>61</v>
      </c>
      <c r="H66" s="16" t="s">
        <v>750</v>
      </c>
      <c r="I66" s="16" t="s">
        <v>742</v>
      </c>
      <c r="J66" s="101" t="s">
        <v>61</v>
      </c>
      <c r="K66" s="52" t="s">
        <v>61</v>
      </c>
      <c r="L66" s="52" t="s">
        <v>61</v>
      </c>
      <c r="M66" s="52" t="s">
        <v>61</v>
      </c>
      <c r="N66" s="16" t="s">
        <v>753</v>
      </c>
      <c r="O66" s="101" t="s">
        <v>61</v>
      </c>
      <c r="P66" s="101" t="s">
        <v>754</v>
      </c>
      <c r="Q66" s="18"/>
      <c r="R66" s="109" t="s">
        <v>95</v>
      </c>
      <c r="S66" s="16" t="s">
        <v>66</v>
      </c>
      <c r="T66" s="16"/>
      <c r="U66" s="16"/>
      <c r="V66" s="16">
        <v>164</v>
      </c>
      <c r="W66" s="15">
        <f>ROUND(IF(D66=Table!$C$3,Y66*Table!$C$4/8,Y66*Table!$D$4/8),3)</f>
        <v>135</v>
      </c>
      <c r="X66" s="15">
        <f t="shared" si="14"/>
        <v>135</v>
      </c>
      <c r="Y66" s="16">
        <v>2.4</v>
      </c>
      <c r="Z66" s="16">
        <v>2</v>
      </c>
      <c r="AA66" s="15" t="s">
        <v>21</v>
      </c>
      <c r="AB66" s="102">
        <v>43979</v>
      </c>
      <c r="AC66" s="19">
        <v>43976</v>
      </c>
      <c r="AD66" s="102">
        <v>43980</v>
      </c>
      <c r="AE66" s="102">
        <v>43978</v>
      </c>
      <c r="AF66" s="102">
        <v>43978</v>
      </c>
      <c r="AG66" s="102" t="s">
        <v>177</v>
      </c>
      <c r="AH66" s="103">
        <v>1</v>
      </c>
      <c r="AI66" s="103">
        <v>0.42</v>
      </c>
      <c r="AJ66" s="103">
        <v>0.66</v>
      </c>
      <c r="AK66" s="168" t="s">
        <v>151</v>
      </c>
      <c r="AL66" s="142" t="s">
        <v>680</v>
      </c>
      <c r="AM66" s="15"/>
      <c r="AN66" s="15"/>
    </row>
    <row r="67" spans="2:40" x14ac:dyDescent="0.25">
      <c r="B67" s="169">
        <f t="shared" si="15"/>
        <v>8</v>
      </c>
      <c r="C67" s="16">
        <v>20200525</v>
      </c>
      <c r="D67" s="16" t="s">
        <v>3</v>
      </c>
      <c r="E67" s="150" t="s">
        <v>682</v>
      </c>
      <c r="F67" s="101" t="s">
        <v>736</v>
      </c>
      <c r="G67" s="52" t="s">
        <v>61</v>
      </c>
      <c r="H67" s="16" t="s">
        <v>751</v>
      </c>
      <c r="I67" s="16" t="s">
        <v>743</v>
      </c>
      <c r="J67" s="101" t="s">
        <v>61</v>
      </c>
      <c r="K67" s="52" t="s">
        <v>61</v>
      </c>
      <c r="L67" s="52" t="s">
        <v>61</v>
      </c>
      <c r="M67" s="52" t="s">
        <v>61</v>
      </c>
      <c r="N67" s="16" t="s">
        <v>753</v>
      </c>
      <c r="O67" s="101" t="s">
        <v>61</v>
      </c>
      <c r="P67" s="101" t="s">
        <v>754</v>
      </c>
      <c r="Q67" s="18"/>
      <c r="R67" s="109" t="s">
        <v>95</v>
      </c>
      <c r="S67" s="16" t="s">
        <v>66</v>
      </c>
      <c r="T67" s="16"/>
      <c r="U67" s="16"/>
      <c r="V67" s="16">
        <v>143</v>
      </c>
      <c r="W67" s="15">
        <f>ROUND(IF(D67=Table!$C$3,Y67*Table!$C$4/8,Y67*Table!$D$4/8),3)</f>
        <v>135</v>
      </c>
      <c r="X67" s="15">
        <f t="shared" si="14"/>
        <v>135</v>
      </c>
      <c r="Y67" s="16">
        <v>2.4</v>
      </c>
      <c r="Z67" s="16">
        <v>2</v>
      </c>
      <c r="AA67" s="15" t="s">
        <v>21</v>
      </c>
      <c r="AB67" s="102">
        <v>43979</v>
      </c>
      <c r="AC67" s="19">
        <v>43976</v>
      </c>
      <c r="AD67" s="102">
        <v>43980</v>
      </c>
      <c r="AE67" s="102">
        <v>43978</v>
      </c>
      <c r="AF67" s="102">
        <v>43978</v>
      </c>
      <c r="AG67" s="102" t="s">
        <v>177</v>
      </c>
      <c r="AH67" s="103">
        <v>1</v>
      </c>
      <c r="AI67" s="103">
        <v>1</v>
      </c>
      <c r="AJ67" s="103">
        <v>1</v>
      </c>
      <c r="AK67" s="168" t="s">
        <v>151</v>
      </c>
      <c r="AL67" s="142"/>
      <c r="AM67" s="15"/>
      <c r="AN67" s="15"/>
    </row>
    <row r="68" spans="2:40" x14ac:dyDescent="0.25">
      <c r="B68" s="169">
        <f t="shared" si="15"/>
        <v>9</v>
      </c>
      <c r="C68" s="16">
        <v>20200525</v>
      </c>
      <c r="D68" s="16" t="s">
        <v>3</v>
      </c>
      <c r="E68" s="150" t="s">
        <v>682</v>
      </c>
      <c r="F68" s="101" t="s">
        <v>736</v>
      </c>
      <c r="G68" s="52" t="s">
        <v>61</v>
      </c>
      <c r="H68" s="16" t="s">
        <v>752</v>
      </c>
      <c r="I68" s="16" t="s">
        <v>744</v>
      </c>
      <c r="J68" s="101" t="s">
        <v>61</v>
      </c>
      <c r="K68" s="52" t="s">
        <v>61</v>
      </c>
      <c r="L68" s="52" t="s">
        <v>61</v>
      </c>
      <c r="M68" s="52" t="s">
        <v>61</v>
      </c>
      <c r="N68" s="16" t="s">
        <v>753</v>
      </c>
      <c r="O68" s="101" t="s">
        <v>61</v>
      </c>
      <c r="P68" s="101" t="s">
        <v>754</v>
      </c>
      <c r="Q68" s="18"/>
      <c r="R68" s="109" t="s">
        <v>95</v>
      </c>
      <c r="S68" s="16" t="s">
        <v>66</v>
      </c>
      <c r="T68" s="16"/>
      <c r="U68" s="16"/>
      <c r="V68" s="16">
        <v>115</v>
      </c>
      <c r="W68" s="15">
        <f>ROUND(IF(D68=Table!$C$3,Y68*Table!$C$4/8,Y68*Table!$D$4/8),3)</f>
        <v>112.5</v>
      </c>
      <c r="X68" s="15">
        <f t="shared" si="14"/>
        <v>112.5</v>
      </c>
      <c r="Y68" s="16">
        <v>2</v>
      </c>
      <c r="Z68" s="16">
        <v>2</v>
      </c>
      <c r="AA68" s="15" t="s">
        <v>21</v>
      </c>
      <c r="AB68" s="102">
        <v>43979</v>
      </c>
      <c r="AC68" s="19">
        <v>43976</v>
      </c>
      <c r="AD68" s="102">
        <v>43980</v>
      </c>
      <c r="AE68" s="102">
        <v>43978</v>
      </c>
      <c r="AF68" s="102">
        <v>43978</v>
      </c>
      <c r="AG68" s="102" t="s">
        <v>177</v>
      </c>
      <c r="AH68" s="103">
        <v>0.97</v>
      </c>
      <c r="AI68" s="103">
        <v>0.88</v>
      </c>
      <c r="AJ68" s="103">
        <v>0.47</v>
      </c>
      <c r="AK68" s="168" t="s">
        <v>151</v>
      </c>
      <c r="AL68" s="142" t="s">
        <v>681</v>
      </c>
      <c r="AM68" s="15"/>
      <c r="AN68" s="15"/>
    </row>
    <row r="69" spans="2:40" x14ac:dyDescent="0.25">
      <c r="B69" s="174">
        <f t="shared" si="15"/>
        <v>10</v>
      </c>
      <c r="C69" s="16">
        <v>20200528</v>
      </c>
      <c r="D69" s="16" t="s">
        <v>3</v>
      </c>
      <c r="E69" s="150" t="s">
        <v>682</v>
      </c>
      <c r="F69" s="101" t="s">
        <v>813</v>
      </c>
      <c r="G69" s="52" t="s">
        <v>61</v>
      </c>
      <c r="H69" s="16" t="s">
        <v>815</v>
      </c>
      <c r="I69" s="16" t="s">
        <v>767</v>
      </c>
      <c r="J69" s="16" t="s">
        <v>856</v>
      </c>
      <c r="K69" s="52" t="s">
        <v>61</v>
      </c>
      <c r="L69" s="52" t="s">
        <v>61</v>
      </c>
      <c r="M69" s="52" t="s">
        <v>61</v>
      </c>
      <c r="N69" s="16" t="s">
        <v>753</v>
      </c>
      <c r="O69" s="101" t="s">
        <v>61</v>
      </c>
      <c r="P69" s="101" t="s">
        <v>754</v>
      </c>
      <c r="Q69" s="18"/>
      <c r="R69" s="16" t="s">
        <v>95</v>
      </c>
      <c r="S69" s="16" t="s">
        <v>760</v>
      </c>
      <c r="T69" s="16"/>
      <c r="U69" s="16"/>
      <c r="V69" s="16">
        <v>76</v>
      </c>
      <c r="W69" s="15">
        <f>ROUND(IF(D69=Table!$C$3,Y69*Table!$C$4/8,Y69*Table!$D$4/8),3)</f>
        <v>90</v>
      </c>
      <c r="X69" s="16"/>
      <c r="Y69" s="16">
        <v>1.6</v>
      </c>
      <c r="Z69" s="16"/>
      <c r="AA69" s="16"/>
      <c r="AB69" s="102"/>
      <c r="AC69" s="102">
        <v>43979</v>
      </c>
      <c r="AD69" s="102">
        <v>43987</v>
      </c>
      <c r="AE69" s="102"/>
      <c r="AF69" s="102"/>
      <c r="AG69" s="102"/>
      <c r="AH69" s="103"/>
      <c r="AI69" s="103"/>
      <c r="AJ69" s="103"/>
      <c r="AK69" s="168"/>
      <c r="AL69" s="142"/>
      <c r="AM69" s="15"/>
      <c r="AN69" s="15" t="s">
        <v>861</v>
      </c>
    </row>
    <row r="70" spans="2:40" x14ac:dyDescent="0.25">
      <c r="B70" s="174">
        <f t="shared" si="15"/>
        <v>11</v>
      </c>
      <c r="C70" s="16">
        <v>20200528</v>
      </c>
      <c r="D70" s="16" t="s">
        <v>3</v>
      </c>
      <c r="E70" s="150" t="s">
        <v>682</v>
      </c>
      <c r="F70" s="101" t="s">
        <v>813</v>
      </c>
      <c r="G70" s="52" t="s">
        <v>61</v>
      </c>
      <c r="H70" s="16" t="s">
        <v>816</v>
      </c>
      <c r="I70" s="16" t="s">
        <v>768</v>
      </c>
      <c r="J70" s="16" t="s">
        <v>856</v>
      </c>
      <c r="K70" s="52" t="s">
        <v>61</v>
      </c>
      <c r="L70" s="52" t="s">
        <v>61</v>
      </c>
      <c r="M70" s="52" t="s">
        <v>61</v>
      </c>
      <c r="N70" s="16" t="s">
        <v>753</v>
      </c>
      <c r="O70" s="101" t="s">
        <v>61</v>
      </c>
      <c r="P70" s="101" t="s">
        <v>754</v>
      </c>
      <c r="Q70" s="18"/>
      <c r="R70" s="109" t="s">
        <v>95</v>
      </c>
      <c r="S70" s="16" t="s">
        <v>760</v>
      </c>
      <c r="T70" s="16"/>
      <c r="U70" s="16"/>
      <c r="V70" s="16">
        <v>308</v>
      </c>
      <c r="W70" s="15">
        <f>ROUND(IF(D70=Table!$C$3,Y70*Table!$C$4/8,Y70*Table!$D$4/8),3)</f>
        <v>126</v>
      </c>
      <c r="X70" s="16"/>
      <c r="Y70" s="16">
        <v>2.2400000000000002</v>
      </c>
      <c r="Z70" s="16"/>
      <c r="AA70" s="16"/>
      <c r="AB70" s="102"/>
      <c r="AC70" s="102">
        <v>43979</v>
      </c>
      <c r="AD70" s="102">
        <v>43987</v>
      </c>
      <c r="AE70" s="102"/>
      <c r="AF70" s="102"/>
      <c r="AG70" s="102"/>
      <c r="AH70" s="103"/>
      <c r="AI70" s="103"/>
      <c r="AJ70" s="103"/>
      <c r="AK70" s="168"/>
      <c r="AL70" s="142"/>
      <c r="AM70" s="15"/>
      <c r="AN70" s="15" t="s">
        <v>861</v>
      </c>
    </row>
    <row r="71" spans="2:40" x14ac:dyDescent="0.25">
      <c r="B71" s="174">
        <f t="shared" si="15"/>
        <v>12</v>
      </c>
      <c r="C71" s="16">
        <v>20200528</v>
      </c>
      <c r="D71" s="16" t="s">
        <v>3</v>
      </c>
      <c r="E71" s="150" t="s">
        <v>682</v>
      </c>
      <c r="F71" s="101" t="s">
        <v>814</v>
      </c>
      <c r="G71" s="52" t="s">
        <v>61</v>
      </c>
      <c r="H71" s="16" t="s">
        <v>817</v>
      </c>
      <c r="I71" s="16" t="s">
        <v>769</v>
      </c>
      <c r="J71" s="16" t="s">
        <v>856</v>
      </c>
      <c r="K71" s="52" t="s">
        <v>61</v>
      </c>
      <c r="L71" s="52" t="s">
        <v>61</v>
      </c>
      <c r="M71" s="52" t="s">
        <v>61</v>
      </c>
      <c r="N71" s="16" t="s">
        <v>753</v>
      </c>
      <c r="O71" s="101" t="s">
        <v>61</v>
      </c>
      <c r="P71" s="101" t="s">
        <v>754</v>
      </c>
      <c r="Q71" s="18"/>
      <c r="R71" s="109" t="s">
        <v>95</v>
      </c>
      <c r="S71" s="16" t="s">
        <v>760</v>
      </c>
      <c r="T71" s="16"/>
      <c r="U71" s="16"/>
      <c r="V71" s="16">
        <v>363</v>
      </c>
      <c r="W71" s="15">
        <f>ROUND(IF(D71=Table!$C$3,Y71*Table!$C$4/8,Y71*Table!$D$4/8),3)</f>
        <v>270</v>
      </c>
      <c r="X71" s="16"/>
      <c r="Y71" s="16">
        <v>4.8</v>
      </c>
      <c r="Z71" s="16"/>
      <c r="AA71" s="16"/>
      <c r="AB71" s="102"/>
      <c r="AC71" s="102">
        <v>43979</v>
      </c>
      <c r="AD71" s="102">
        <v>43987</v>
      </c>
      <c r="AE71" s="102"/>
      <c r="AF71" s="102"/>
      <c r="AG71" s="102"/>
      <c r="AH71" s="103"/>
      <c r="AI71" s="103"/>
      <c r="AJ71" s="103"/>
      <c r="AK71" s="168"/>
      <c r="AL71" s="142"/>
      <c r="AM71" s="15"/>
      <c r="AN71" s="15" t="s">
        <v>861</v>
      </c>
    </row>
    <row r="72" spans="2:40" x14ac:dyDescent="0.25">
      <c r="B72" s="174">
        <f t="shared" si="15"/>
        <v>13</v>
      </c>
      <c r="C72" s="16">
        <v>20200528</v>
      </c>
      <c r="D72" s="16" t="s">
        <v>3</v>
      </c>
      <c r="E72" s="150" t="s">
        <v>682</v>
      </c>
      <c r="F72" s="101" t="s">
        <v>735</v>
      </c>
      <c r="G72" s="52" t="s">
        <v>61</v>
      </c>
      <c r="H72" s="16" t="s">
        <v>818</v>
      </c>
      <c r="I72" s="16" t="s">
        <v>770</v>
      </c>
      <c r="J72" s="16" t="s">
        <v>856</v>
      </c>
      <c r="K72" s="52" t="s">
        <v>61</v>
      </c>
      <c r="L72" s="52" t="s">
        <v>61</v>
      </c>
      <c r="M72" s="52" t="s">
        <v>61</v>
      </c>
      <c r="N72" s="16" t="s">
        <v>753</v>
      </c>
      <c r="O72" s="101" t="s">
        <v>61</v>
      </c>
      <c r="P72" s="101" t="s">
        <v>754</v>
      </c>
      <c r="Q72" s="18"/>
      <c r="R72" s="109" t="s">
        <v>95</v>
      </c>
      <c r="S72" s="16" t="s">
        <v>760</v>
      </c>
      <c r="T72" s="16"/>
      <c r="U72" s="16"/>
      <c r="V72" s="16">
        <v>170</v>
      </c>
      <c r="W72" s="15">
        <f>ROUND(IF(D72=Table!$C$3,Y72*Table!$C$4/8,Y72*Table!$D$4/8),3)</f>
        <v>166.5</v>
      </c>
      <c r="X72" s="16"/>
      <c r="Y72" s="16">
        <v>2.96</v>
      </c>
      <c r="Z72" s="16"/>
      <c r="AA72" s="16"/>
      <c r="AB72" s="102"/>
      <c r="AC72" s="102">
        <v>43979</v>
      </c>
      <c r="AD72" s="102">
        <v>43987</v>
      </c>
      <c r="AE72" s="102"/>
      <c r="AF72" s="102"/>
      <c r="AG72" s="102"/>
      <c r="AH72" s="103"/>
      <c r="AI72" s="103"/>
      <c r="AJ72" s="103"/>
      <c r="AK72" s="168"/>
      <c r="AL72" s="142"/>
      <c r="AM72" s="15"/>
      <c r="AN72" s="15" t="s">
        <v>861</v>
      </c>
    </row>
    <row r="73" spans="2:40" x14ac:dyDescent="0.25">
      <c r="B73" s="174">
        <f t="shared" si="15"/>
        <v>14</v>
      </c>
      <c r="C73" s="16">
        <v>20200528</v>
      </c>
      <c r="D73" s="16" t="s">
        <v>3</v>
      </c>
      <c r="E73" s="150" t="s">
        <v>682</v>
      </c>
      <c r="F73" s="101" t="s">
        <v>735</v>
      </c>
      <c r="G73" s="52" t="s">
        <v>61</v>
      </c>
      <c r="H73" s="16" t="s">
        <v>819</v>
      </c>
      <c r="I73" s="16" t="s">
        <v>771</v>
      </c>
      <c r="J73" s="16" t="s">
        <v>857</v>
      </c>
      <c r="K73" s="52" t="s">
        <v>61</v>
      </c>
      <c r="L73" s="52" t="s">
        <v>61</v>
      </c>
      <c r="M73" s="52" t="s">
        <v>61</v>
      </c>
      <c r="N73" s="16" t="s">
        <v>753</v>
      </c>
      <c r="O73" s="101" t="s">
        <v>61</v>
      </c>
      <c r="P73" s="101" t="s">
        <v>754</v>
      </c>
      <c r="Q73" s="18"/>
      <c r="R73" s="109" t="s">
        <v>95</v>
      </c>
      <c r="S73" s="16" t="s">
        <v>760</v>
      </c>
      <c r="T73" s="16"/>
      <c r="U73" s="16"/>
      <c r="V73" s="16">
        <v>434</v>
      </c>
      <c r="W73" s="15">
        <f>ROUND(IF(D73=Table!$C$3,Y73*Table!$C$4/8,Y73*Table!$D$4/8),3)</f>
        <v>414</v>
      </c>
      <c r="X73" s="16"/>
      <c r="Y73" s="16">
        <v>7.36</v>
      </c>
      <c r="Z73" s="16"/>
      <c r="AA73" s="16"/>
      <c r="AB73" s="102"/>
      <c r="AC73" s="102">
        <v>43979</v>
      </c>
      <c r="AD73" s="102">
        <v>43987</v>
      </c>
      <c r="AE73" s="102"/>
      <c r="AF73" s="102"/>
      <c r="AG73" s="102"/>
      <c r="AH73" s="103"/>
      <c r="AI73" s="103"/>
      <c r="AJ73" s="103"/>
      <c r="AK73" s="168"/>
      <c r="AL73" s="142"/>
      <c r="AM73" s="15"/>
      <c r="AN73" s="15" t="s">
        <v>861</v>
      </c>
    </row>
    <row r="74" spans="2:40" x14ac:dyDescent="0.25">
      <c r="B74" s="174">
        <f t="shared" si="15"/>
        <v>15</v>
      </c>
      <c r="C74" s="16">
        <v>20200528</v>
      </c>
      <c r="D74" s="16" t="s">
        <v>3</v>
      </c>
      <c r="E74" s="150" t="s">
        <v>682</v>
      </c>
      <c r="F74" s="101" t="s">
        <v>735</v>
      </c>
      <c r="G74" s="52" t="s">
        <v>61</v>
      </c>
      <c r="H74" s="16" t="s">
        <v>820</v>
      </c>
      <c r="I74" s="16" t="s">
        <v>772</v>
      </c>
      <c r="J74" s="16" t="s">
        <v>856</v>
      </c>
      <c r="K74" s="52" t="s">
        <v>61</v>
      </c>
      <c r="L74" s="52" t="s">
        <v>61</v>
      </c>
      <c r="M74" s="52" t="s">
        <v>61</v>
      </c>
      <c r="N74" s="16" t="s">
        <v>753</v>
      </c>
      <c r="O74" s="101" t="s">
        <v>61</v>
      </c>
      <c r="P74" s="101" t="s">
        <v>754</v>
      </c>
      <c r="Q74" s="18"/>
      <c r="R74" s="109" t="s">
        <v>95</v>
      </c>
      <c r="S74" s="16" t="s">
        <v>760</v>
      </c>
      <c r="T74" s="16"/>
      <c r="U74" s="16"/>
      <c r="V74" s="16">
        <v>95</v>
      </c>
      <c r="W74" s="15">
        <f>ROUND(IF(D74=Table!$C$3,Y74*Table!$C$4/8,Y74*Table!$D$4/8),3)</f>
        <v>90</v>
      </c>
      <c r="X74" s="16"/>
      <c r="Y74" s="16">
        <v>1.6</v>
      </c>
      <c r="Z74" s="16"/>
      <c r="AA74" s="16"/>
      <c r="AB74" s="102"/>
      <c r="AC74" s="102">
        <v>43979</v>
      </c>
      <c r="AD74" s="102">
        <v>43987</v>
      </c>
      <c r="AE74" s="102"/>
      <c r="AF74" s="102"/>
      <c r="AG74" s="102"/>
      <c r="AH74" s="103"/>
      <c r="AI74" s="103"/>
      <c r="AJ74" s="103"/>
      <c r="AK74" s="168"/>
      <c r="AL74" s="142"/>
      <c r="AM74" s="15"/>
      <c r="AN74" s="15" t="s">
        <v>861</v>
      </c>
    </row>
    <row r="75" spans="2:40" x14ac:dyDescent="0.25">
      <c r="B75" s="174">
        <f t="shared" si="15"/>
        <v>16</v>
      </c>
      <c r="C75" s="16">
        <v>20200528</v>
      </c>
      <c r="D75" s="16" t="s">
        <v>3</v>
      </c>
      <c r="E75" s="150" t="s">
        <v>682</v>
      </c>
      <c r="F75" s="101" t="s">
        <v>735</v>
      </c>
      <c r="G75" s="52" t="s">
        <v>61</v>
      </c>
      <c r="H75" s="16" t="s">
        <v>821</v>
      </c>
      <c r="I75" s="16" t="s">
        <v>773</v>
      </c>
      <c r="J75" s="16" t="s">
        <v>857</v>
      </c>
      <c r="K75" s="52" t="s">
        <v>61</v>
      </c>
      <c r="L75" s="52" t="s">
        <v>61</v>
      </c>
      <c r="M75" s="52" t="s">
        <v>61</v>
      </c>
      <c r="N75" s="16" t="s">
        <v>753</v>
      </c>
      <c r="O75" s="101" t="s">
        <v>61</v>
      </c>
      <c r="P75" s="101" t="s">
        <v>754</v>
      </c>
      <c r="Q75" s="18"/>
      <c r="R75" s="109" t="s">
        <v>95</v>
      </c>
      <c r="S75" s="16" t="s">
        <v>760</v>
      </c>
      <c r="T75" s="16"/>
      <c r="U75" s="16"/>
      <c r="V75" s="16">
        <v>271</v>
      </c>
      <c r="W75" s="15">
        <f>ROUND(IF(D75=Table!$C$3,Y75*Table!$C$4/8,Y75*Table!$D$4/8),3)</f>
        <v>90</v>
      </c>
      <c r="X75" s="16"/>
      <c r="Y75" s="16">
        <v>1.6</v>
      </c>
      <c r="Z75" s="16"/>
      <c r="AA75" s="16"/>
      <c r="AB75" s="102"/>
      <c r="AC75" s="102">
        <v>43979</v>
      </c>
      <c r="AD75" s="102">
        <v>43987</v>
      </c>
      <c r="AE75" s="102"/>
      <c r="AF75" s="102"/>
      <c r="AG75" s="102"/>
      <c r="AH75" s="103"/>
      <c r="AI75" s="103"/>
      <c r="AJ75" s="103"/>
      <c r="AK75" s="168"/>
      <c r="AL75" s="142"/>
      <c r="AM75" s="15"/>
      <c r="AN75" s="15" t="s">
        <v>861</v>
      </c>
    </row>
    <row r="76" spans="2:40" x14ac:dyDescent="0.25">
      <c r="B76" s="174">
        <f t="shared" si="15"/>
        <v>17</v>
      </c>
      <c r="C76" s="16">
        <v>20200528</v>
      </c>
      <c r="D76" s="16" t="s">
        <v>3</v>
      </c>
      <c r="E76" s="150" t="s">
        <v>682</v>
      </c>
      <c r="F76" s="101" t="s">
        <v>735</v>
      </c>
      <c r="G76" s="52" t="s">
        <v>61</v>
      </c>
      <c r="H76" s="16" t="s">
        <v>822</v>
      </c>
      <c r="I76" s="16" t="s">
        <v>774</v>
      </c>
      <c r="J76" s="16" t="s">
        <v>858</v>
      </c>
      <c r="K76" s="52" t="s">
        <v>61</v>
      </c>
      <c r="L76" s="52" t="s">
        <v>61</v>
      </c>
      <c r="M76" s="52" t="s">
        <v>61</v>
      </c>
      <c r="N76" s="16" t="s">
        <v>753</v>
      </c>
      <c r="O76" s="101" t="s">
        <v>61</v>
      </c>
      <c r="P76" s="101" t="s">
        <v>754</v>
      </c>
      <c r="Q76" s="18"/>
      <c r="R76" s="109" t="s">
        <v>95</v>
      </c>
      <c r="S76" s="16" t="s">
        <v>760</v>
      </c>
      <c r="T76" s="16"/>
      <c r="U76" s="16"/>
      <c r="V76" s="16">
        <v>1194</v>
      </c>
      <c r="W76" s="15">
        <f>ROUND(IF(D76=Table!$C$3,Y76*Table!$C$4/8,Y76*Table!$D$4/8),3)</f>
        <v>270</v>
      </c>
      <c r="X76" s="16"/>
      <c r="Y76" s="16">
        <v>4.8</v>
      </c>
      <c r="Z76" s="16"/>
      <c r="AA76" s="16"/>
      <c r="AB76" s="102"/>
      <c r="AC76" s="102">
        <v>43979</v>
      </c>
      <c r="AD76" s="102">
        <v>43987</v>
      </c>
      <c r="AE76" s="102"/>
      <c r="AF76" s="102"/>
      <c r="AG76" s="102"/>
      <c r="AH76" s="103"/>
      <c r="AI76" s="103"/>
      <c r="AJ76" s="103"/>
      <c r="AK76" s="168"/>
      <c r="AL76" s="142"/>
      <c r="AM76" s="15"/>
      <c r="AN76" s="15" t="s">
        <v>861</v>
      </c>
    </row>
    <row r="77" spans="2:40" x14ac:dyDescent="0.25">
      <c r="B77" s="174">
        <f t="shared" si="15"/>
        <v>18</v>
      </c>
      <c r="C77" s="16">
        <v>20200528</v>
      </c>
      <c r="D77" s="16" t="s">
        <v>3</v>
      </c>
      <c r="E77" s="150" t="s">
        <v>682</v>
      </c>
      <c r="F77" s="101" t="s">
        <v>735</v>
      </c>
      <c r="G77" s="52" t="s">
        <v>61</v>
      </c>
      <c r="H77" s="16" t="s">
        <v>823</v>
      </c>
      <c r="I77" s="16" t="s">
        <v>775</v>
      </c>
      <c r="J77" s="16" t="s">
        <v>856</v>
      </c>
      <c r="K77" s="52" t="s">
        <v>61</v>
      </c>
      <c r="L77" s="52" t="s">
        <v>61</v>
      </c>
      <c r="M77" s="52" t="s">
        <v>61</v>
      </c>
      <c r="N77" s="16" t="s">
        <v>753</v>
      </c>
      <c r="O77" s="101" t="s">
        <v>61</v>
      </c>
      <c r="P77" s="101" t="s">
        <v>754</v>
      </c>
      <c r="Q77" s="18"/>
      <c r="R77" s="109" t="s">
        <v>95</v>
      </c>
      <c r="S77" s="16" t="s">
        <v>760</v>
      </c>
      <c r="T77" s="16"/>
      <c r="U77" s="16"/>
      <c r="V77" s="16">
        <v>46</v>
      </c>
      <c r="W77" s="15">
        <f>ROUND(IF(D77=Table!$C$3,Y77*Table!$C$4/8,Y77*Table!$D$4/8),3)</f>
        <v>90</v>
      </c>
      <c r="X77" s="16"/>
      <c r="Y77" s="16">
        <v>1.6</v>
      </c>
      <c r="Z77" s="16"/>
      <c r="AA77" s="16"/>
      <c r="AB77" s="102"/>
      <c r="AC77" s="102">
        <v>43979</v>
      </c>
      <c r="AD77" s="102">
        <v>43987</v>
      </c>
      <c r="AE77" s="102"/>
      <c r="AF77" s="102"/>
      <c r="AG77" s="102"/>
      <c r="AH77" s="103"/>
      <c r="AI77" s="103"/>
      <c r="AJ77" s="103"/>
      <c r="AK77" s="168"/>
      <c r="AL77" s="142"/>
      <c r="AM77" s="15"/>
      <c r="AN77" s="15" t="s">
        <v>861</v>
      </c>
    </row>
    <row r="78" spans="2:40" x14ac:dyDescent="0.25">
      <c r="B78" s="174">
        <f t="shared" si="15"/>
        <v>19</v>
      </c>
      <c r="C78" s="16">
        <v>20200528</v>
      </c>
      <c r="D78" s="16" t="s">
        <v>3</v>
      </c>
      <c r="E78" s="150" t="s">
        <v>682</v>
      </c>
      <c r="F78" s="101" t="s">
        <v>735</v>
      </c>
      <c r="G78" s="52" t="s">
        <v>61</v>
      </c>
      <c r="H78" s="16" t="s">
        <v>824</v>
      </c>
      <c r="I78" s="16" t="s">
        <v>776</v>
      </c>
      <c r="J78" s="16" t="s">
        <v>856</v>
      </c>
      <c r="K78" s="52" t="s">
        <v>61</v>
      </c>
      <c r="L78" s="52" t="s">
        <v>61</v>
      </c>
      <c r="M78" s="52" t="s">
        <v>61</v>
      </c>
      <c r="N78" s="16" t="s">
        <v>753</v>
      </c>
      <c r="O78" s="101" t="s">
        <v>61</v>
      </c>
      <c r="P78" s="101" t="s">
        <v>754</v>
      </c>
      <c r="Q78" s="18"/>
      <c r="R78" s="109" t="s">
        <v>95</v>
      </c>
      <c r="S78" s="16" t="s">
        <v>760</v>
      </c>
      <c r="T78" s="16"/>
      <c r="U78" s="16"/>
      <c r="V78" s="16">
        <v>59</v>
      </c>
      <c r="W78" s="15">
        <f>ROUND(IF(D78=Table!$C$3,Y78*Table!$C$4/8,Y78*Table!$D$4/8),3)</f>
        <v>90</v>
      </c>
      <c r="X78" s="16"/>
      <c r="Y78" s="16">
        <v>1.6</v>
      </c>
      <c r="Z78" s="16"/>
      <c r="AA78" s="16"/>
      <c r="AB78" s="102"/>
      <c r="AC78" s="102">
        <v>43979</v>
      </c>
      <c r="AD78" s="102">
        <v>43987</v>
      </c>
      <c r="AE78" s="102"/>
      <c r="AF78" s="102"/>
      <c r="AG78" s="102"/>
      <c r="AH78" s="103"/>
      <c r="AI78" s="103"/>
      <c r="AJ78" s="103"/>
      <c r="AK78" s="168"/>
      <c r="AL78" s="142"/>
      <c r="AM78" s="15"/>
      <c r="AN78" s="15" t="s">
        <v>861</v>
      </c>
    </row>
    <row r="79" spans="2:40" x14ac:dyDescent="0.25">
      <c r="B79" s="174">
        <f t="shared" si="15"/>
        <v>20</v>
      </c>
      <c r="C79" s="16">
        <v>20200528</v>
      </c>
      <c r="D79" s="16" t="s">
        <v>3</v>
      </c>
      <c r="E79" s="150" t="s">
        <v>682</v>
      </c>
      <c r="F79" s="101" t="s">
        <v>735</v>
      </c>
      <c r="G79" s="52" t="s">
        <v>61</v>
      </c>
      <c r="H79" s="16" t="s">
        <v>825</v>
      </c>
      <c r="I79" s="16" t="s">
        <v>777</v>
      </c>
      <c r="J79" s="16" t="s">
        <v>856</v>
      </c>
      <c r="K79" s="52" t="s">
        <v>61</v>
      </c>
      <c r="L79" s="52" t="s">
        <v>61</v>
      </c>
      <c r="M79" s="52" t="s">
        <v>61</v>
      </c>
      <c r="N79" s="16" t="s">
        <v>753</v>
      </c>
      <c r="O79" s="101" t="s">
        <v>61</v>
      </c>
      <c r="P79" s="101" t="s">
        <v>754</v>
      </c>
      <c r="Q79" s="18"/>
      <c r="R79" s="109" t="s">
        <v>95</v>
      </c>
      <c r="S79" s="16" t="s">
        <v>760</v>
      </c>
      <c r="T79" s="16"/>
      <c r="U79" s="16"/>
      <c r="V79" s="16">
        <v>103</v>
      </c>
      <c r="W79" s="15">
        <f>ROUND(IF(D79=Table!$C$3,Y79*Table!$C$4/8,Y79*Table!$D$4/8),3)</f>
        <v>90</v>
      </c>
      <c r="X79" s="16"/>
      <c r="Y79" s="16">
        <v>1.6</v>
      </c>
      <c r="Z79" s="16"/>
      <c r="AA79" s="16"/>
      <c r="AB79" s="102"/>
      <c r="AC79" s="102">
        <v>43979</v>
      </c>
      <c r="AD79" s="102">
        <v>43987</v>
      </c>
      <c r="AE79" s="102"/>
      <c r="AF79" s="102"/>
      <c r="AG79" s="102"/>
      <c r="AH79" s="103"/>
      <c r="AI79" s="103"/>
      <c r="AJ79" s="103"/>
      <c r="AK79" s="168"/>
      <c r="AL79" s="142"/>
      <c r="AM79" s="15"/>
      <c r="AN79" s="15" t="s">
        <v>861</v>
      </c>
    </row>
    <row r="80" spans="2:40" x14ac:dyDescent="0.25">
      <c r="B80" s="174">
        <f t="shared" si="15"/>
        <v>21</v>
      </c>
      <c r="C80" s="16">
        <v>20200528</v>
      </c>
      <c r="D80" s="16" t="s">
        <v>3</v>
      </c>
      <c r="E80" s="150" t="s">
        <v>682</v>
      </c>
      <c r="F80" s="101" t="s">
        <v>735</v>
      </c>
      <c r="G80" s="52" t="s">
        <v>61</v>
      </c>
      <c r="H80" s="16" t="s">
        <v>826</v>
      </c>
      <c r="I80" s="16" t="s">
        <v>778</v>
      </c>
      <c r="J80" s="16" t="s">
        <v>856</v>
      </c>
      <c r="K80" s="52" t="s">
        <v>61</v>
      </c>
      <c r="L80" s="52" t="s">
        <v>61</v>
      </c>
      <c r="M80" s="52" t="s">
        <v>61</v>
      </c>
      <c r="N80" s="16" t="s">
        <v>753</v>
      </c>
      <c r="O80" s="101" t="s">
        <v>61</v>
      </c>
      <c r="P80" s="101" t="s">
        <v>754</v>
      </c>
      <c r="Q80" s="18"/>
      <c r="R80" s="109" t="s">
        <v>95</v>
      </c>
      <c r="S80" s="16" t="s">
        <v>760</v>
      </c>
      <c r="T80" s="16"/>
      <c r="U80" s="16"/>
      <c r="V80" s="16">
        <v>71</v>
      </c>
      <c r="W80" s="15">
        <f>ROUND(IF(D80=Table!$C$3,Y80*Table!$C$4/8,Y80*Table!$D$4/8),3)</f>
        <v>67.5</v>
      </c>
      <c r="X80" s="16"/>
      <c r="Y80" s="16">
        <v>1.2</v>
      </c>
      <c r="Z80" s="16"/>
      <c r="AA80" s="16"/>
      <c r="AB80" s="102"/>
      <c r="AC80" s="102">
        <v>43979</v>
      </c>
      <c r="AD80" s="102">
        <v>43987</v>
      </c>
      <c r="AE80" s="102"/>
      <c r="AF80" s="102"/>
      <c r="AG80" s="102"/>
      <c r="AH80" s="103"/>
      <c r="AI80" s="103"/>
      <c r="AJ80" s="103"/>
      <c r="AK80" s="168"/>
      <c r="AL80" s="142"/>
      <c r="AM80" s="15"/>
      <c r="AN80" s="15" t="s">
        <v>861</v>
      </c>
    </row>
    <row r="81" spans="2:40" x14ac:dyDescent="0.25">
      <c r="B81" s="174">
        <f t="shared" si="15"/>
        <v>22</v>
      </c>
      <c r="C81" s="16">
        <v>20200528</v>
      </c>
      <c r="D81" s="16" t="s">
        <v>3</v>
      </c>
      <c r="E81" s="150" t="s">
        <v>682</v>
      </c>
      <c r="F81" s="101" t="s">
        <v>735</v>
      </c>
      <c r="G81" s="52" t="s">
        <v>61</v>
      </c>
      <c r="H81" s="16" t="s">
        <v>827</v>
      </c>
      <c r="I81" s="16" t="s">
        <v>779</v>
      </c>
      <c r="J81" s="16" t="s">
        <v>856</v>
      </c>
      <c r="K81" s="52" t="s">
        <v>61</v>
      </c>
      <c r="L81" s="52" t="s">
        <v>61</v>
      </c>
      <c r="M81" s="52" t="s">
        <v>61</v>
      </c>
      <c r="N81" s="16" t="s">
        <v>753</v>
      </c>
      <c r="O81" s="101" t="s">
        <v>61</v>
      </c>
      <c r="P81" s="101" t="s">
        <v>754</v>
      </c>
      <c r="Q81" s="18"/>
      <c r="R81" s="109" t="s">
        <v>95</v>
      </c>
      <c r="S81" s="16" t="s">
        <v>760</v>
      </c>
      <c r="T81" s="16"/>
      <c r="U81" s="16"/>
      <c r="V81" s="16">
        <v>147</v>
      </c>
      <c r="W81" s="15">
        <f>ROUND(IF(D81=Table!$C$3,Y81*Table!$C$4/8,Y81*Table!$D$4/8),3)</f>
        <v>139.5</v>
      </c>
      <c r="X81" s="16"/>
      <c r="Y81" s="16">
        <v>2.48</v>
      </c>
      <c r="Z81" s="16"/>
      <c r="AA81" s="16"/>
      <c r="AB81" s="102"/>
      <c r="AC81" s="102">
        <v>43979</v>
      </c>
      <c r="AD81" s="102">
        <v>43987</v>
      </c>
      <c r="AE81" s="102"/>
      <c r="AF81" s="102"/>
      <c r="AG81" s="102"/>
      <c r="AH81" s="103"/>
      <c r="AI81" s="103"/>
      <c r="AJ81" s="103"/>
      <c r="AK81" s="168"/>
      <c r="AL81" s="142"/>
      <c r="AM81" s="15"/>
      <c r="AN81" s="15" t="s">
        <v>861</v>
      </c>
    </row>
    <row r="82" spans="2:40" x14ac:dyDescent="0.25">
      <c r="B82" s="174">
        <f t="shared" si="15"/>
        <v>23</v>
      </c>
      <c r="C82" s="16">
        <v>20200528</v>
      </c>
      <c r="D82" s="16" t="s">
        <v>3</v>
      </c>
      <c r="E82" s="150" t="s">
        <v>682</v>
      </c>
      <c r="F82" s="101" t="s">
        <v>735</v>
      </c>
      <c r="G82" s="52" t="s">
        <v>61</v>
      </c>
      <c r="H82" s="16" t="s">
        <v>828</v>
      </c>
      <c r="I82" s="16" t="s">
        <v>780</v>
      </c>
      <c r="J82" s="16" t="s">
        <v>856</v>
      </c>
      <c r="K82" s="52" t="s">
        <v>61</v>
      </c>
      <c r="L82" s="52" t="s">
        <v>61</v>
      </c>
      <c r="M82" s="52" t="s">
        <v>61</v>
      </c>
      <c r="N82" s="16" t="s">
        <v>753</v>
      </c>
      <c r="O82" s="101" t="s">
        <v>61</v>
      </c>
      <c r="P82" s="101" t="s">
        <v>754</v>
      </c>
      <c r="Q82" s="18"/>
      <c r="R82" s="109" t="s">
        <v>95</v>
      </c>
      <c r="S82" s="16" t="s">
        <v>760</v>
      </c>
      <c r="T82" s="16"/>
      <c r="U82" s="16"/>
      <c r="V82" s="16">
        <v>59</v>
      </c>
      <c r="W82" s="15">
        <f>ROUND(IF(D82=Table!$C$3,Y82*Table!$C$4/8,Y82*Table!$D$4/8),3)</f>
        <v>90</v>
      </c>
      <c r="X82" s="16"/>
      <c r="Y82" s="16">
        <v>1.6</v>
      </c>
      <c r="Z82" s="16"/>
      <c r="AA82" s="16"/>
      <c r="AB82" s="102"/>
      <c r="AC82" s="102">
        <v>43979</v>
      </c>
      <c r="AD82" s="102">
        <v>43987</v>
      </c>
      <c r="AE82" s="102"/>
      <c r="AF82" s="102"/>
      <c r="AG82" s="102"/>
      <c r="AH82" s="103"/>
      <c r="AI82" s="103"/>
      <c r="AJ82" s="103"/>
      <c r="AK82" s="168"/>
      <c r="AL82" s="142"/>
      <c r="AM82" s="15"/>
      <c r="AN82" s="15" t="s">
        <v>861</v>
      </c>
    </row>
    <row r="83" spans="2:40" x14ac:dyDescent="0.25">
      <c r="B83" s="174">
        <f t="shared" si="15"/>
        <v>24</v>
      </c>
      <c r="C83" s="16">
        <v>20200528</v>
      </c>
      <c r="D83" s="16" t="s">
        <v>3</v>
      </c>
      <c r="E83" s="150" t="s">
        <v>682</v>
      </c>
      <c r="F83" s="101" t="s">
        <v>735</v>
      </c>
      <c r="G83" s="52" t="s">
        <v>61</v>
      </c>
      <c r="H83" s="16" t="s">
        <v>829</v>
      </c>
      <c r="I83" s="16" t="s">
        <v>781</v>
      </c>
      <c r="J83" s="16" t="s">
        <v>856</v>
      </c>
      <c r="K83" s="52" t="s">
        <v>61</v>
      </c>
      <c r="L83" s="52" t="s">
        <v>61</v>
      </c>
      <c r="M83" s="52" t="s">
        <v>61</v>
      </c>
      <c r="N83" s="16" t="s">
        <v>753</v>
      </c>
      <c r="O83" s="101" t="s">
        <v>61</v>
      </c>
      <c r="P83" s="101" t="s">
        <v>754</v>
      </c>
      <c r="Q83" s="18"/>
      <c r="R83" s="109" t="s">
        <v>95</v>
      </c>
      <c r="S83" s="16" t="s">
        <v>760</v>
      </c>
      <c r="T83" s="16"/>
      <c r="U83" s="16"/>
      <c r="V83" s="16">
        <v>119</v>
      </c>
      <c r="W83" s="15">
        <f>ROUND(IF(D83=Table!$C$3,Y83*Table!$C$4/8,Y83*Table!$D$4/8),3)</f>
        <v>112.5</v>
      </c>
      <c r="X83" s="16"/>
      <c r="Y83" s="16">
        <v>2</v>
      </c>
      <c r="Z83" s="16"/>
      <c r="AA83" s="16"/>
      <c r="AB83" s="102"/>
      <c r="AC83" s="102">
        <v>43979</v>
      </c>
      <c r="AD83" s="102">
        <v>43987</v>
      </c>
      <c r="AE83" s="102"/>
      <c r="AF83" s="102"/>
      <c r="AG83" s="102"/>
      <c r="AH83" s="103"/>
      <c r="AI83" s="103"/>
      <c r="AJ83" s="103"/>
      <c r="AK83" s="168"/>
      <c r="AL83" s="142"/>
      <c r="AM83" s="15"/>
      <c r="AN83" s="15" t="s">
        <v>861</v>
      </c>
    </row>
    <row r="84" spans="2:40" x14ac:dyDescent="0.25">
      <c r="B84" s="174">
        <f t="shared" si="15"/>
        <v>25</v>
      </c>
      <c r="C84" s="16">
        <v>20200528</v>
      </c>
      <c r="D84" s="16" t="s">
        <v>3</v>
      </c>
      <c r="E84" s="150" t="s">
        <v>682</v>
      </c>
      <c r="F84" s="101" t="s">
        <v>735</v>
      </c>
      <c r="G84" s="52" t="s">
        <v>61</v>
      </c>
      <c r="H84" s="16" t="s">
        <v>830</v>
      </c>
      <c r="I84" s="16" t="s">
        <v>782</v>
      </c>
      <c r="J84" s="16" t="s">
        <v>856</v>
      </c>
      <c r="K84" s="52" t="s">
        <v>61</v>
      </c>
      <c r="L84" s="52" t="s">
        <v>61</v>
      </c>
      <c r="M84" s="52" t="s">
        <v>61</v>
      </c>
      <c r="N84" s="16" t="s">
        <v>753</v>
      </c>
      <c r="O84" s="101" t="s">
        <v>61</v>
      </c>
      <c r="P84" s="101" t="s">
        <v>754</v>
      </c>
      <c r="Q84" s="18"/>
      <c r="R84" s="109" t="s">
        <v>95</v>
      </c>
      <c r="S84" s="16" t="s">
        <v>760</v>
      </c>
      <c r="T84" s="16"/>
      <c r="U84" s="16"/>
      <c r="V84" s="16">
        <v>367</v>
      </c>
      <c r="W84" s="15">
        <f>ROUND(IF(D84=Table!$C$3,Y84*Table!$C$4/8,Y84*Table!$D$4/8),3)</f>
        <v>382.5</v>
      </c>
      <c r="X84" s="16"/>
      <c r="Y84" s="16">
        <v>6.8</v>
      </c>
      <c r="Z84" s="16"/>
      <c r="AA84" s="16"/>
      <c r="AB84" s="102"/>
      <c r="AC84" s="102">
        <v>43979</v>
      </c>
      <c r="AD84" s="102">
        <v>43987</v>
      </c>
      <c r="AE84" s="102"/>
      <c r="AF84" s="102"/>
      <c r="AG84" s="102"/>
      <c r="AH84" s="103"/>
      <c r="AI84" s="103"/>
      <c r="AJ84" s="103"/>
      <c r="AK84" s="168"/>
      <c r="AL84" s="142"/>
      <c r="AM84" s="15"/>
      <c r="AN84" s="15" t="s">
        <v>861</v>
      </c>
    </row>
    <row r="85" spans="2:40" x14ac:dyDescent="0.25">
      <c r="B85" s="174">
        <f t="shared" si="15"/>
        <v>26</v>
      </c>
      <c r="C85" s="16">
        <v>20200528</v>
      </c>
      <c r="D85" s="16" t="s">
        <v>3</v>
      </c>
      <c r="E85" s="150" t="s">
        <v>682</v>
      </c>
      <c r="F85" s="101" t="s">
        <v>735</v>
      </c>
      <c r="G85" s="52" t="s">
        <v>61</v>
      </c>
      <c r="H85" s="16" t="s">
        <v>831</v>
      </c>
      <c r="I85" s="16" t="s">
        <v>783</v>
      </c>
      <c r="J85" s="16" t="s">
        <v>856</v>
      </c>
      <c r="K85" s="52" t="s">
        <v>61</v>
      </c>
      <c r="L85" s="52" t="s">
        <v>61</v>
      </c>
      <c r="M85" s="52" t="s">
        <v>61</v>
      </c>
      <c r="N85" s="16" t="s">
        <v>753</v>
      </c>
      <c r="O85" s="101" t="s">
        <v>61</v>
      </c>
      <c r="P85" s="101" t="s">
        <v>754</v>
      </c>
      <c r="Q85" s="18"/>
      <c r="R85" s="16" t="s">
        <v>94</v>
      </c>
      <c r="S85" s="16" t="s">
        <v>142</v>
      </c>
      <c r="T85" s="16"/>
      <c r="U85" s="16"/>
      <c r="V85" s="16">
        <v>35</v>
      </c>
      <c r="W85" s="15">
        <f>ROUND(IF(D85=Table!$C$3,Y85*Table!$C$4/8,Y85*Table!$D$4/8),3)</f>
        <v>90</v>
      </c>
      <c r="X85" s="16"/>
      <c r="Y85" s="16">
        <v>1.6</v>
      </c>
      <c r="Z85" s="16"/>
      <c r="AA85" s="16"/>
      <c r="AB85" s="102"/>
      <c r="AC85" s="102">
        <v>43979</v>
      </c>
      <c r="AD85" s="102">
        <v>43987</v>
      </c>
      <c r="AE85" s="102"/>
      <c r="AF85" s="102"/>
      <c r="AG85" s="102"/>
      <c r="AH85" s="103"/>
      <c r="AI85" s="103"/>
      <c r="AJ85" s="103"/>
      <c r="AK85" s="168"/>
      <c r="AL85" s="142"/>
      <c r="AM85" s="15"/>
      <c r="AN85" s="15" t="s">
        <v>861</v>
      </c>
    </row>
    <row r="86" spans="2:40" x14ac:dyDescent="0.25">
      <c r="B86" s="174">
        <f t="shared" si="15"/>
        <v>27</v>
      </c>
      <c r="C86" s="16">
        <v>20200528</v>
      </c>
      <c r="D86" s="16" t="s">
        <v>3</v>
      </c>
      <c r="E86" s="150" t="s">
        <v>682</v>
      </c>
      <c r="F86" s="101" t="s">
        <v>735</v>
      </c>
      <c r="G86" s="52" t="s">
        <v>61</v>
      </c>
      <c r="H86" s="16" t="s">
        <v>832</v>
      </c>
      <c r="I86" s="16" t="s">
        <v>784</v>
      </c>
      <c r="J86" s="16" t="s">
        <v>857</v>
      </c>
      <c r="K86" s="52" t="s">
        <v>61</v>
      </c>
      <c r="L86" s="52" t="s">
        <v>61</v>
      </c>
      <c r="M86" s="52" t="s">
        <v>61</v>
      </c>
      <c r="N86" s="16" t="s">
        <v>753</v>
      </c>
      <c r="O86" s="101" t="s">
        <v>61</v>
      </c>
      <c r="P86" s="101" t="s">
        <v>754</v>
      </c>
      <c r="Q86" s="18"/>
      <c r="R86" s="109" t="s">
        <v>94</v>
      </c>
      <c r="S86" s="16" t="s">
        <v>142</v>
      </c>
      <c r="T86" s="16"/>
      <c r="U86" s="16"/>
      <c r="V86" s="16">
        <v>68</v>
      </c>
      <c r="W86" s="15">
        <f>ROUND(IF(D86=Table!$C$3,Y86*Table!$C$4/8,Y86*Table!$D$4/8),3)</f>
        <v>90</v>
      </c>
      <c r="X86" s="16"/>
      <c r="Y86" s="16">
        <v>1.6</v>
      </c>
      <c r="Z86" s="16"/>
      <c r="AA86" s="16"/>
      <c r="AB86" s="102"/>
      <c r="AC86" s="102">
        <v>43979</v>
      </c>
      <c r="AD86" s="102">
        <v>43987</v>
      </c>
      <c r="AE86" s="102"/>
      <c r="AF86" s="102"/>
      <c r="AG86" s="102"/>
      <c r="AH86" s="103"/>
      <c r="AI86" s="103"/>
      <c r="AJ86" s="103"/>
      <c r="AK86" s="168"/>
      <c r="AL86" s="142"/>
      <c r="AM86" s="15"/>
      <c r="AN86" s="15" t="s">
        <v>861</v>
      </c>
    </row>
    <row r="87" spans="2:40" x14ac:dyDescent="0.25">
      <c r="B87" s="174">
        <f t="shared" si="15"/>
        <v>28</v>
      </c>
      <c r="C87" s="16">
        <v>20200528</v>
      </c>
      <c r="D87" s="16" t="s">
        <v>3</v>
      </c>
      <c r="E87" s="150" t="s">
        <v>682</v>
      </c>
      <c r="F87" s="101" t="s">
        <v>735</v>
      </c>
      <c r="G87" s="52" t="s">
        <v>61</v>
      </c>
      <c r="H87" s="16" t="s">
        <v>833</v>
      </c>
      <c r="I87" s="16" t="s">
        <v>785</v>
      </c>
      <c r="J87" s="16" t="s">
        <v>856</v>
      </c>
      <c r="K87" s="52" t="s">
        <v>61</v>
      </c>
      <c r="L87" s="52" t="s">
        <v>61</v>
      </c>
      <c r="M87" s="52" t="s">
        <v>61</v>
      </c>
      <c r="N87" s="16" t="s">
        <v>753</v>
      </c>
      <c r="O87" s="101" t="s">
        <v>61</v>
      </c>
      <c r="P87" s="101" t="s">
        <v>754</v>
      </c>
      <c r="Q87" s="18"/>
      <c r="R87" s="109" t="s">
        <v>94</v>
      </c>
      <c r="S87" s="16" t="s">
        <v>142</v>
      </c>
      <c r="T87" s="16"/>
      <c r="U87" s="16"/>
      <c r="V87" s="16">
        <v>108</v>
      </c>
      <c r="W87" s="15">
        <f>ROUND(IF(D87=Table!$C$3,Y87*Table!$C$4/8,Y87*Table!$D$4/8),3)</f>
        <v>90</v>
      </c>
      <c r="X87" s="16"/>
      <c r="Y87" s="16">
        <v>1.6</v>
      </c>
      <c r="Z87" s="16"/>
      <c r="AA87" s="16"/>
      <c r="AB87" s="102"/>
      <c r="AC87" s="102">
        <v>43979</v>
      </c>
      <c r="AD87" s="102">
        <v>43987</v>
      </c>
      <c r="AE87" s="102"/>
      <c r="AF87" s="102"/>
      <c r="AG87" s="102"/>
      <c r="AH87" s="103"/>
      <c r="AI87" s="103"/>
      <c r="AJ87" s="103"/>
      <c r="AK87" s="168"/>
      <c r="AL87" s="142"/>
      <c r="AM87" s="15"/>
      <c r="AN87" s="15" t="s">
        <v>861</v>
      </c>
    </row>
    <row r="88" spans="2:40" x14ac:dyDescent="0.25">
      <c r="B88" s="174">
        <f t="shared" si="15"/>
        <v>29</v>
      </c>
      <c r="C88" s="16">
        <v>20200528</v>
      </c>
      <c r="D88" s="16" t="s">
        <v>3</v>
      </c>
      <c r="E88" s="150" t="s">
        <v>682</v>
      </c>
      <c r="F88" s="101" t="s">
        <v>735</v>
      </c>
      <c r="G88" s="52" t="s">
        <v>61</v>
      </c>
      <c r="H88" s="16" t="s">
        <v>834</v>
      </c>
      <c r="I88" s="16" t="s">
        <v>786</v>
      </c>
      <c r="J88" s="16" t="s">
        <v>856</v>
      </c>
      <c r="K88" s="52" t="s">
        <v>61</v>
      </c>
      <c r="L88" s="52" t="s">
        <v>61</v>
      </c>
      <c r="M88" s="52" t="s">
        <v>61</v>
      </c>
      <c r="N88" s="16" t="s">
        <v>753</v>
      </c>
      <c r="O88" s="101" t="s">
        <v>61</v>
      </c>
      <c r="P88" s="101" t="s">
        <v>754</v>
      </c>
      <c r="Q88" s="18"/>
      <c r="R88" s="109" t="s">
        <v>94</v>
      </c>
      <c r="S88" s="16" t="s">
        <v>142</v>
      </c>
      <c r="T88" s="16"/>
      <c r="U88" s="16"/>
      <c r="V88" s="16">
        <v>223</v>
      </c>
      <c r="W88" s="15">
        <f>ROUND(IF(D88=Table!$C$3,Y88*Table!$C$4/8,Y88*Table!$D$4/8),3)</f>
        <v>225</v>
      </c>
      <c r="X88" s="16"/>
      <c r="Y88" s="16">
        <v>4</v>
      </c>
      <c r="Z88" s="16"/>
      <c r="AA88" s="16"/>
      <c r="AB88" s="102"/>
      <c r="AC88" s="102">
        <v>43979</v>
      </c>
      <c r="AD88" s="102">
        <v>43987</v>
      </c>
      <c r="AE88" s="102"/>
      <c r="AF88" s="102"/>
      <c r="AG88" s="102"/>
      <c r="AH88" s="103"/>
      <c r="AI88" s="103"/>
      <c r="AJ88" s="103"/>
      <c r="AK88" s="168"/>
      <c r="AL88" s="142"/>
      <c r="AM88" s="15"/>
      <c r="AN88" s="15" t="s">
        <v>861</v>
      </c>
    </row>
    <row r="89" spans="2:40" x14ac:dyDescent="0.25">
      <c r="B89" s="174">
        <f t="shared" si="15"/>
        <v>30</v>
      </c>
      <c r="C89" s="16">
        <v>20200528</v>
      </c>
      <c r="D89" s="16" t="s">
        <v>3</v>
      </c>
      <c r="E89" s="150" t="s">
        <v>682</v>
      </c>
      <c r="F89" s="101" t="s">
        <v>735</v>
      </c>
      <c r="G89" s="52" t="s">
        <v>61</v>
      </c>
      <c r="H89" s="16" t="s">
        <v>835</v>
      </c>
      <c r="I89" s="16" t="s">
        <v>787</v>
      </c>
      <c r="J89" s="16" t="s">
        <v>856</v>
      </c>
      <c r="K89" s="52" t="s">
        <v>61</v>
      </c>
      <c r="L89" s="52" t="s">
        <v>61</v>
      </c>
      <c r="M89" s="52" t="s">
        <v>61</v>
      </c>
      <c r="N89" s="16" t="s">
        <v>753</v>
      </c>
      <c r="O89" s="101" t="s">
        <v>61</v>
      </c>
      <c r="P89" s="101" t="s">
        <v>754</v>
      </c>
      <c r="Q89" s="18"/>
      <c r="R89" s="109" t="s">
        <v>94</v>
      </c>
      <c r="S89" s="16" t="s">
        <v>142</v>
      </c>
      <c r="T89" s="16"/>
      <c r="U89" s="16"/>
      <c r="V89" s="16">
        <v>69</v>
      </c>
      <c r="W89" s="15">
        <f>ROUND(IF(D89=Table!$C$3,Y89*Table!$C$4/8,Y89*Table!$D$4/8),3)</f>
        <v>90</v>
      </c>
      <c r="X89" s="16"/>
      <c r="Y89" s="16">
        <v>1.6</v>
      </c>
      <c r="Z89" s="16"/>
      <c r="AA89" s="16"/>
      <c r="AB89" s="102"/>
      <c r="AC89" s="102">
        <v>43979</v>
      </c>
      <c r="AD89" s="102">
        <v>43987</v>
      </c>
      <c r="AE89" s="102"/>
      <c r="AF89" s="102"/>
      <c r="AG89" s="102"/>
      <c r="AH89" s="103"/>
      <c r="AI89" s="103"/>
      <c r="AJ89" s="103"/>
      <c r="AK89" s="168"/>
      <c r="AL89" s="142"/>
      <c r="AM89" s="15"/>
      <c r="AN89" s="15" t="s">
        <v>861</v>
      </c>
    </row>
    <row r="90" spans="2:40" x14ac:dyDescent="0.25">
      <c r="B90" s="174">
        <f t="shared" si="15"/>
        <v>31</v>
      </c>
      <c r="C90" s="16">
        <v>20200528</v>
      </c>
      <c r="D90" s="16" t="s">
        <v>3</v>
      </c>
      <c r="E90" s="150" t="s">
        <v>682</v>
      </c>
      <c r="F90" s="101" t="s">
        <v>735</v>
      </c>
      <c r="G90" s="52" t="s">
        <v>61</v>
      </c>
      <c r="H90" s="16" t="s">
        <v>836</v>
      </c>
      <c r="I90" s="16" t="s">
        <v>788</v>
      </c>
      <c r="J90" s="16" t="s">
        <v>856</v>
      </c>
      <c r="K90" s="52" t="s">
        <v>61</v>
      </c>
      <c r="L90" s="52" t="s">
        <v>61</v>
      </c>
      <c r="M90" s="52" t="s">
        <v>61</v>
      </c>
      <c r="N90" s="16" t="s">
        <v>753</v>
      </c>
      <c r="O90" s="101" t="s">
        <v>61</v>
      </c>
      <c r="P90" s="101" t="s">
        <v>754</v>
      </c>
      <c r="Q90" s="18"/>
      <c r="R90" s="109" t="s">
        <v>94</v>
      </c>
      <c r="S90" s="16" t="s">
        <v>142</v>
      </c>
      <c r="T90" s="16"/>
      <c r="U90" s="16"/>
      <c r="V90" s="16">
        <v>102</v>
      </c>
      <c r="W90" s="15">
        <f>ROUND(IF(D90=Table!$C$3,Y90*Table!$C$4/8,Y90*Table!$D$4/8),3)</f>
        <v>99</v>
      </c>
      <c r="X90" s="16"/>
      <c r="Y90" s="16">
        <v>1.76</v>
      </c>
      <c r="Z90" s="16"/>
      <c r="AA90" s="16"/>
      <c r="AB90" s="102"/>
      <c r="AC90" s="102">
        <v>43979</v>
      </c>
      <c r="AD90" s="102">
        <v>43987</v>
      </c>
      <c r="AE90" s="102"/>
      <c r="AF90" s="102"/>
      <c r="AG90" s="102"/>
      <c r="AH90" s="103"/>
      <c r="AI90" s="103"/>
      <c r="AJ90" s="103"/>
      <c r="AK90" s="168"/>
      <c r="AL90" s="142"/>
      <c r="AM90" s="15"/>
      <c r="AN90" s="15" t="s">
        <v>861</v>
      </c>
    </row>
    <row r="91" spans="2:40" x14ac:dyDescent="0.25">
      <c r="B91" s="174">
        <f t="shared" si="15"/>
        <v>32</v>
      </c>
      <c r="C91" s="16">
        <v>20200528</v>
      </c>
      <c r="D91" s="16" t="s">
        <v>3</v>
      </c>
      <c r="E91" s="150" t="s">
        <v>682</v>
      </c>
      <c r="F91" s="101" t="s">
        <v>735</v>
      </c>
      <c r="G91" s="52" t="s">
        <v>61</v>
      </c>
      <c r="H91" s="16" t="s">
        <v>837</v>
      </c>
      <c r="I91" s="16" t="s">
        <v>789</v>
      </c>
      <c r="J91" s="16" t="s">
        <v>856</v>
      </c>
      <c r="K91" s="52" t="s">
        <v>61</v>
      </c>
      <c r="L91" s="52" t="s">
        <v>61</v>
      </c>
      <c r="M91" s="52" t="s">
        <v>61</v>
      </c>
      <c r="N91" s="16" t="s">
        <v>753</v>
      </c>
      <c r="O91" s="101" t="s">
        <v>61</v>
      </c>
      <c r="P91" s="101" t="s">
        <v>754</v>
      </c>
      <c r="Q91" s="18"/>
      <c r="R91" s="109" t="s">
        <v>94</v>
      </c>
      <c r="S91" s="16" t="s">
        <v>142</v>
      </c>
      <c r="T91" s="16"/>
      <c r="U91" s="16"/>
      <c r="V91" s="16">
        <v>141</v>
      </c>
      <c r="W91" s="15">
        <f>ROUND(IF(D91=Table!$C$3,Y91*Table!$C$4/8,Y91*Table!$D$4/8),3)</f>
        <v>135</v>
      </c>
      <c r="X91" s="16"/>
      <c r="Y91" s="16">
        <v>2.4</v>
      </c>
      <c r="Z91" s="16"/>
      <c r="AA91" s="16"/>
      <c r="AB91" s="102"/>
      <c r="AC91" s="102">
        <v>43979</v>
      </c>
      <c r="AD91" s="102">
        <v>43987</v>
      </c>
      <c r="AE91" s="102"/>
      <c r="AF91" s="102"/>
      <c r="AG91" s="102"/>
      <c r="AH91" s="103"/>
      <c r="AI91" s="103"/>
      <c r="AJ91" s="103"/>
      <c r="AK91" s="168"/>
      <c r="AL91" s="142"/>
      <c r="AM91" s="15"/>
      <c r="AN91" s="15" t="s">
        <v>861</v>
      </c>
    </row>
    <row r="92" spans="2:40" x14ac:dyDescent="0.25">
      <c r="B92" s="174">
        <f t="shared" si="15"/>
        <v>33</v>
      </c>
      <c r="C92" s="16">
        <v>20200528</v>
      </c>
      <c r="D92" s="16" t="s">
        <v>3</v>
      </c>
      <c r="E92" s="150" t="s">
        <v>682</v>
      </c>
      <c r="F92" s="101" t="s">
        <v>735</v>
      </c>
      <c r="G92" s="52" t="s">
        <v>61</v>
      </c>
      <c r="H92" s="16" t="s">
        <v>838</v>
      </c>
      <c r="I92" s="16" t="s">
        <v>790</v>
      </c>
      <c r="J92" s="16" t="s">
        <v>856</v>
      </c>
      <c r="K92" s="52" t="s">
        <v>61</v>
      </c>
      <c r="L92" s="52" t="s">
        <v>61</v>
      </c>
      <c r="M92" s="52" t="s">
        <v>61</v>
      </c>
      <c r="N92" s="16" t="s">
        <v>753</v>
      </c>
      <c r="O92" s="101" t="s">
        <v>61</v>
      </c>
      <c r="P92" s="101" t="s">
        <v>754</v>
      </c>
      <c r="Q92" s="18"/>
      <c r="R92" s="109" t="s">
        <v>94</v>
      </c>
      <c r="S92" s="16" t="s">
        <v>142</v>
      </c>
      <c r="T92" s="16"/>
      <c r="U92" s="16"/>
      <c r="V92" s="16">
        <v>156</v>
      </c>
      <c r="W92" s="15">
        <f>ROUND(IF(D92=Table!$C$3,Y92*Table!$C$4/8,Y92*Table!$D$4/8),3)</f>
        <v>157.5</v>
      </c>
      <c r="X92" s="16"/>
      <c r="Y92" s="16">
        <v>2.8</v>
      </c>
      <c r="Z92" s="16"/>
      <c r="AA92" s="16"/>
      <c r="AB92" s="102"/>
      <c r="AC92" s="102">
        <v>43979</v>
      </c>
      <c r="AD92" s="102">
        <v>43987</v>
      </c>
      <c r="AE92" s="102"/>
      <c r="AF92" s="102"/>
      <c r="AG92" s="102"/>
      <c r="AH92" s="103"/>
      <c r="AI92" s="103"/>
      <c r="AJ92" s="103"/>
      <c r="AK92" s="168"/>
      <c r="AL92" s="142"/>
      <c r="AM92" s="15"/>
      <c r="AN92" s="15" t="s">
        <v>861</v>
      </c>
    </row>
    <row r="93" spans="2:40" x14ac:dyDescent="0.25">
      <c r="B93" s="174">
        <f t="shared" si="15"/>
        <v>34</v>
      </c>
      <c r="C93" s="16">
        <v>20200528</v>
      </c>
      <c r="D93" s="16" t="s">
        <v>3</v>
      </c>
      <c r="E93" s="150" t="s">
        <v>682</v>
      </c>
      <c r="F93" s="101" t="s">
        <v>735</v>
      </c>
      <c r="G93" s="52" t="s">
        <v>61</v>
      </c>
      <c r="H93" s="16" t="s">
        <v>839</v>
      </c>
      <c r="I93" s="16" t="s">
        <v>791</v>
      </c>
      <c r="J93" s="16" t="s">
        <v>857</v>
      </c>
      <c r="K93" s="52" t="s">
        <v>61</v>
      </c>
      <c r="L93" s="52" t="s">
        <v>61</v>
      </c>
      <c r="M93" s="52" t="s">
        <v>61</v>
      </c>
      <c r="N93" s="16" t="s">
        <v>753</v>
      </c>
      <c r="O93" s="101" t="s">
        <v>61</v>
      </c>
      <c r="P93" s="101" t="s">
        <v>754</v>
      </c>
      <c r="Q93" s="18"/>
      <c r="R93" s="109" t="s">
        <v>94</v>
      </c>
      <c r="S93" s="16" t="s">
        <v>142</v>
      </c>
      <c r="T93" s="16"/>
      <c r="U93" s="16"/>
      <c r="V93" s="16">
        <v>265</v>
      </c>
      <c r="W93" s="15">
        <f>ROUND(IF(D93=Table!$C$3,Y93*Table!$C$4/8,Y93*Table!$D$4/8),3)</f>
        <v>229.5</v>
      </c>
      <c r="X93" s="16"/>
      <c r="Y93" s="16">
        <v>4.08</v>
      </c>
      <c r="Z93" s="16"/>
      <c r="AA93" s="16"/>
      <c r="AB93" s="102"/>
      <c r="AC93" s="102">
        <v>43979</v>
      </c>
      <c r="AD93" s="102">
        <v>43987</v>
      </c>
      <c r="AE93" s="102"/>
      <c r="AF93" s="102"/>
      <c r="AG93" s="102"/>
      <c r="AH93" s="103"/>
      <c r="AI93" s="103"/>
      <c r="AJ93" s="103"/>
      <c r="AK93" s="168"/>
      <c r="AL93" s="142"/>
      <c r="AM93" s="15"/>
      <c r="AN93" s="15" t="s">
        <v>861</v>
      </c>
    </row>
    <row r="94" spans="2:40" x14ac:dyDescent="0.25">
      <c r="B94" s="174">
        <f t="shared" si="15"/>
        <v>35</v>
      </c>
      <c r="C94" s="16">
        <v>20200528</v>
      </c>
      <c r="D94" s="16" t="s">
        <v>3</v>
      </c>
      <c r="E94" s="150" t="s">
        <v>682</v>
      </c>
      <c r="F94" s="101" t="s">
        <v>735</v>
      </c>
      <c r="G94" s="52" t="s">
        <v>61</v>
      </c>
      <c r="H94" s="16" t="s">
        <v>840</v>
      </c>
      <c r="I94" s="16" t="s">
        <v>792</v>
      </c>
      <c r="J94" s="16" t="s">
        <v>856</v>
      </c>
      <c r="K94" s="52" t="s">
        <v>61</v>
      </c>
      <c r="L94" s="52" t="s">
        <v>61</v>
      </c>
      <c r="M94" s="52" t="s">
        <v>61</v>
      </c>
      <c r="N94" s="16" t="s">
        <v>753</v>
      </c>
      <c r="O94" s="101" t="s">
        <v>61</v>
      </c>
      <c r="P94" s="101" t="s">
        <v>754</v>
      </c>
      <c r="Q94" s="18"/>
      <c r="R94" s="109" t="s">
        <v>94</v>
      </c>
      <c r="S94" s="16" t="s">
        <v>142</v>
      </c>
      <c r="T94" s="16"/>
      <c r="U94" s="16"/>
      <c r="V94" s="16">
        <v>91</v>
      </c>
      <c r="W94" s="15">
        <f>ROUND(IF(D94=Table!$C$3,Y94*Table!$C$4/8,Y94*Table!$D$4/8),3)</f>
        <v>90</v>
      </c>
      <c r="X94" s="16"/>
      <c r="Y94" s="16">
        <v>1.6</v>
      </c>
      <c r="Z94" s="16"/>
      <c r="AA94" s="16"/>
      <c r="AB94" s="102"/>
      <c r="AC94" s="102">
        <v>43979</v>
      </c>
      <c r="AD94" s="102">
        <v>43987</v>
      </c>
      <c r="AE94" s="102"/>
      <c r="AF94" s="102"/>
      <c r="AG94" s="102"/>
      <c r="AH94" s="103"/>
      <c r="AI94" s="103"/>
      <c r="AJ94" s="103"/>
      <c r="AK94" s="168"/>
      <c r="AL94" s="142"/>
      <c r="AM94" s="15"/>
      <c r="AN94" s="15" t="s">
        <v>861</v>
      </c>
    </row>
    <row r="95" spans="2:40" x14ac:dyDescent="0.25">
      <c r="B95" s="174">
        <f t="shared" si="15"/>
        <v>36</v>
      </c>
      <c r="C95" s="16">
        <v>20200528</v>
      </c>
      <c r="D95" s="16" t="s">
        <v>3</v>
      </c>
      <c r="E95" s="150" t="s">
        <v>682</v>
      </c>
      <c r="F95" s="101" t="s">
        <v>735</v>
      </c>
      <c r="G95" s="52" t="s">
        <v>61</v>
      </c>
      <c r="H95" s="16" t="s">
        <v>841</v>
      </c>
      <c r="I95" s="16" t="s">
        <v>793</v>
      </c>
      <c r="J95" s="16" t="s">
        <v>856</v>
      </c>
      <c r="K95" s="52" t="s">
        <v>61</v>
      </c>
      <c r="L95" s="52" t="s">
        <v>61</v>
      </c>
      <c r="M95" s="52" t="s">
        <v>61</v>
      </c>
      <c r="N95" s="16" t="s">
        <v>753</v>
      </c>
      <c r="O95" s="101" t="s">
        <v>61</v>
      </c>
      <c r="P95" s="101" t="s">
        <v>754</v>
      </c>
      <c r="Q95" s="18"/>
      <c r="R95" s="109" t="s">
        <v>94</v>
      </c>
      <c r="S95" s="16" t="s">
        <v>142</v>
      </c>
      <c r="T95" s="16"/>
      <c r="U95" s="16"/>
      <c r="V95" s="16">
        <v>538</v>
      </c>
      <c r="W95" s="15">
        <f>ROUND(IF(D95=Table!$C$3,Y95*Table!$C$4/8,Y95*Table!$D$4/8),3)</f>
        <v>414</v>
      </c>
      <c r="X95" s="16"/>
      <c r="Y95" s="16">
        <v>7.36</v>
      </c>
      <c r="Z95" s="16"/>
      <c r="AA95" s="16"/>
      <c r="AB95" s="102"/>
      <c r="AC95" s="102">
        <v>43979</v>
      </c>
      <c r="AD95" s="102">
        <v>43987</v>
      </c>
      <c r="AE95" s="102"/>
      <c r="AF95" s="102"/>
      <c r="AG95" s="102"/>
      <c r="AH95" s="103"/>
      <c r="AI95" s="103"/>
      <c r="AJ95" s="103"/>
      <c r="AK95" s="168"/>
      <c r="AL95" s="142"/>
      <c r="AM95" s="15"/>
      <c r="AN95" s="15" t="s">
        <v>861</v>
      </c>
    </row>
    <row r="96" spans="2:40" x14ac:dyDescent="0.25">
      <c r="B96" s="174">
        <f t="shared" si="15"/>
        <v>37</v>
      </c>
      <c r="C96" s="16">
        <v>20200528</v>
      </c>
      <c r="D96" s="16" t="s">
        <v>3</v>
      </c>
      <c r="E96" s="150" t="s">
        <v>682</v>
      </c>
      <c r="F96" s="101" t="s">
        <v>735</v>
      </c>
      <c r="G96" s="52" t="s">
        <v>61</v>
      </c>
      <c r="H96" s="16" t="s">
        <v>842</v>
      </c>
      <c r="I96" s="16" t="s">
        <v>794</v>
      </c>
      <c r="J96" s="16" t="s">
        <v>856</v>
      </c>
      <c r="K96" s="52" t="s">
        <v>61</v>
      </c>
      <c r="L96" s="52" t="s">
        <v>61</v>
      </c>
      <c r="M96" s="52" t="s">
        <v>61</v>
      </c>
      <c r="N96" s="16" t="s">
        <v>753</v>
      </c>
      <c r="O96" s="101" t="s">
        <v>61</v>
      </c>
      <c r="P96" s="101" t="s">
        <v>754</v>
      </c>
      <c r="Q96" s="18"/>
      <c r="R96" s="109" t="s">
        <v>94</v>
      </c>
      <c r="S96" s="16" t="s">
        <v>142</v>
      </c>
      <c r="T96" s="16"/>
      <c r="U96" s="16"/>
      <c r="V96" s="16">
        <v>84</v>
      </c>
      <c r="W96" s="15">
        <f>ROUND(IF(D96=Table!$C$3,Y96*Table!$C$4/8,Y96*Table!$D$4/8),3)</f>
        <v>81</v>
      </c>
      <c r="X96" s="16"/>
      <c r="Y96" s="16">
        <v>1.44</v>
      </c>
      <c r="Z96" s="16"/>
      <c r="AA96" s="16"/>
      <c r="AB96" s="102"/>
      <c r="AC96" s="102">
        <v>43979</v>
      </c>
      <c r="AD96" s="102">
        <v>43987</v>
      </c>
      <c r="AE96" s="102"/>
      <c r="AF96" s="102"/>
      <c r="AG96" s="102"/>
      <c r="AH96" s="103"/>
      <c r="AI96" s="103"/>
      <c r="AJ96" s="103"/>
      <c r="AK96" s="168"/>
      <c r="AL96" s="142"/>
      <c r="AM96" s="15"/>
      <c r="AN96" s="15" t="s">
        <v>861</v>
      </c>
    </row>
    <row r="97" spans="2:40" x14ac:dyDescent="0.25">
      <c r="B97" s="174">
        <f t="shared" si="15"/>
        <v>38</v>
      </c>
      <c r="C97" s="16">
        <v>20200528</v>
      </c>
      <c r="D97" s="16" t="s">
        <v>3</v>
      </c>
      <c r="E97" s="150" t="s">
        <v>682</v>
      </c>
      <c r="F97" s="101" t="s">
        <v>735</v>
      </c>
      <c r="G97" s="52" t="s">
        <v>61</v>
      </c>
      <c r="H97" s="16" t="s">
        <v>843</v>
      </c>
      <c r="I97" s="16" t="s">
        <v>795</v>
      </c>
      <c r="J97" s="16" t="s">
        <v>856</v>
      </c>
      <c r="K97" s="52" t="s">
        <v>61</v>
      </c>
      <c r="L97" s="52" t="s">
        <v>61</v>
      </c>
      <c r="M97" s="52" t="s">
        <v>61</v>
      </c>
      <c r="N97" s="16" t="s">
        <v>753</v>
      </c>
      <c r="O97" s="101" t="s">
        <v>61</v>
      </c>
      <c r="P97" s="101" t="s">
        <v>754</v>
      </c>
      <c r="Q97" s="18"/>
      <c r="R97" s="109" t="s">
        <v>94</v>
      </c>
      <c r="S97" s="16" t="s">
        <v>142</v>
      </c>
      <c r="T97" s="16"/>
      <c r="U97" s="16"/>
      <c r="V97" s="16">
        <v>472</v>
      </c>
      <c r="W97" s="15">
        <f>ROUND(IF(D97=Table!$C$3,Y97*Table!$C$4/8,Y97*Table!$D$4/8),3)</f>
        <v>504</v>
      </c>
      <c r="X97" s="16"/>
      <c r="Y97" s="16">
        <v>8.9600000000000009</v>
      </c>
      <c r="Z97" s="16"/>
      <c r="AA97" s="16"/>
      <c r="AB97" s="102"/>
      <c r="AC97" s="102">
        <v>43979</v>
      </c>
      <c r="AD97" s="102">
        <v>43987</v>
      </c>
      <c r="AE97" s="102"/>
      <c r="AF97" s="102"/>
      <c r="AG97" s="102"/>
      <c r="AH97" s="103"/>
      <c r="AI97" s="103"/>
      <c r="AJ97" s="103"/>
      <c r="AK97" s="168"/>
      <c r="AL97" s="142"/>
      <c r="AM97" s="15"/>
      <c r="AN97" s="15" t="s">
        <v>861</v>
      </c>
    </row>
    <row r="98" spans="2:40" x14ac:dyDescent="0.25">
      <c r="B98" s="174">
        <f t="shared" si="15"/>
        <v>39</v>
      </c>
      <c r="C98" s="16">
        <v>20200528</v>
      </c>
      <c r="D98" s="16" t="s">
        <v>3</v>
      </c>
      <c r="E98" s="150" t="s">
        <v>682</v>
      </c>
      <c r="F98" s="101" t="s">
        <v>735</v>
      </c>
      <c r="G98" s="52" t="s">
        <v>61</v>
      </c>
      <c r="H98" s="16" t="s">
        <v>844</v>
      </c>
      <c r="I98" s="16" t="s">
        <v>796</v>
      </c>
      <c r="J98" s="16" t="s">
        <v>856</v>
      </c>
      <c r="K98" s="52" t="s">
        <v>61</v>
      </c>
      <c r="L98" s="52" t="s">
        <v>61</v>
      </c>
      <c r="M98" s="52" t="s">
        <v>61</v>
      </c>
      <c r="N98" s="16" t="s">
        <v>753</v>
      </c>
      <c r="O98" s="101" t="s">
        <v>61</v>
      </c>
      <c r="P98" s="101" t="s">
        <v>754</v>
      </c>
      <c r="Q98" s="18"/>
      <c r="R98" s="109" t="s">
        <v>94</v>
      </c>
      <c r="S98" s="16" t="s">
        <v>142</v>
      </c>
      <c r="T98" s="16"/>
      <c r="U98" s="16"/>
      <c r="V98" s="16">
        <v>71</v>
      </c>
      <c r="W98" s="15">
        <f>ROUND(IF(D98=Table!$C$3,Y98*Table!$C$4/8,Y98*Table!$D$4/8),3)</f>
        <v>90</v>
      </c>
      <c r="X98" s="16"/>
      <c r="Y98" s="16">
        <v>1.6</v>
      </c>
      <c r="Z98" s="16"/>
      <c r="AA98" s="16"/>
      <c r="AB98" s="102"/>
      <c r="AC98" s="102">
        <v>43979</v>
      </c>
      <c r="AD98" s="102">
        <v>43987</v>
      </c>
      <c r="AE98" s="102"/>
      <c r="AF98" s="102"/>
      <c r="AG98" s="102"/>
      <c r="AH98" s="103"/>
      <c r="AI98" s="103"/>
      <c r="AJ98" s="103"/>
      <c r="AK98" s="168"/>
      <c r="AL98" s="142"/>
      <c r="AM98" s="15"/>
      <c r="AN98" s="15" t="s">
        <v>861</v>
      </c>
    </row>
    <row r="99" spans="2:40" x14ac:dyDescent="0.25">
      <c r="B99" s="174">
        <f t="shared" si="15"/>
        <v>40</v>
      </c>
      <c r="C99" s="16">
        <v>20200528</v>
      </c>
      <c r="D99" s="16" t="s">
        <v>3</v>
      </c>
      <c r="E99" s="150" t="s">
        <v>682</v>
      </c>
      <c r="F99" s="101" t="s">
        <v>735</v>
      </c>
      <c r="G99" s="52" t="s">
        <v>61</v>
      </c>
      <c r="H99" s="16" t="s">
        <v>845</v>
      </c>
      <c r="I99" s="16" t="s">
        <v>797</v>
      </c>
      <c r="J99" s="16" t="s">
        <v>856</v>
      </c>
      <c r="K99" s="52" t="s">
        <v>61</v>
      </c>
      <c r="L99" s="52" t="s">
        <v>61</v>
      </c>
      <c r="M99" s="52" t="s">
        <v>61</v>
      </c>
      <c r="N99" s="16" t="s">
        <v>753</v>
      </c>
      <c r="O99" s="101" t="s">
        <v>61</v>
      </c>
      <c r="P99" s="101" t="s">
        <v>754</v>
      </c>
      <c r="Q99" s="18"/>
      <c r="R99" s="109" t="s">
        <v>94</v>
      </c>
      <c r="S99" s="16" t="s">
        <v>142</v>
      </c>
      <c r="T99" s="16"/>
      <c r="U99" s="16"/>
      <c r="V99" s="16">
        <v>60</v>
      </c>
      <c r="W99" s="15">
        <f>ROUND(IF(D99=Table!$C$3,Y99*Table!$C$4/8,Y99*Table!$D$4/8),3)</f>
        <v>90</v>
      </c>
      <c r="X99" s="16"/>
      <c r="Y99" s="16">
        <v>1.6</v>
      </c>
      <c r="Z99" s="16"/>
      <c r="AA99" s="16"/>
      <c r="AB99" s="102"/>
      <c r="AC99" s="102">
        <v>43979</v>
      </c>
      <c r="AD99" s="102">
        <v>43987</v>
      </c>
      <c r="AE99" s="102"/>
      <c r="AF99" s="102"/>
      <c r="AG99" s="102"/>
      <c r="AH99" s="103"/>
      <c r="AI99" s="103"/>
      <c r="AJ99" s="103"/>
      <c r="AK99" s="168"/>
      <c r="AL99" s="142"/>
      <c r="AM99" s="15"/>
      <c r="AN99" s="15" t="s">
        <v>861</v>
      </c>
    </row>
    <row r="100" spans="2:40" x14ac:dyDescent="0.25">
      <c r="B100" s="174">
        <f t="shared" si="15"/>
        <v>41</v>
      </c>
      <c r="C100" s="16">
        <v>20200528</v>
      </c>
      <c r="D100" s="16" t="s">
        <v>3</v>
      </c>
      <c r="E100" s="150" t="s">
        <v>682</v>
      </c>
      <c r="F100" s="101" t="s">
        <v>735</v>
      </c>
      <c r="G100" s="52" t="s">
        <v>61</v>
      </c>
      <c r="H100" s="16" t="s">
        <v>846</v>
      </c>
      <c r="I100" s="16" t="s">
        <v>798</v>
      </c>
      <c r="J100" s="16" t="s">
        <v>856</v>
      </c>
      <c r="K100" s="52" t="s">
        <v>61</v>
      </c>
      <c r="L100" s="52" t="s">
        <v>61</v>
      </c>
      <c r="M100" s="52" t="s">
        <v>61</v>
      </c>
      <c r="N100" s="16" t="s">
        <v>753</v>
      </c>
      <c r="O100" s="101" t="s">
        <v>61</v>
      </c>
      <c r="P100" s="101" t="s">
        <v>754</v>
      </c>
      <c r="Q100" s="18"/>
      <c r="R100" s="109" t="s">
        <v>94</v>
      </c>
      <c r="S100" s="16" t="s">
        <v>142</v>
      </c>
      <c r="T100" s="16"/>
      <c r="U100" s="16"/>
      <c r="V100" s="16">
        <v>52</v>
      </c>
      <c r="W100" s="15">
        <f>ROUND(IF(D100=Table!$C$3,Y100*Table!$C$4/8,Y100*Table!$D$4/8),3)</f>
        <v>90</v>
      </c>
      <c r="X100" s="16"/>
      <c r="Y100" s="16">
        <v>1.6</v>
      </c>
      <c r="Z100" s="16"/>
      <c r="AA100" s="16"/>
      <c r="AB100" s="102"/>
      <c r="AC100" s="102">
        <v>43979</v>
      </c>
      <c r="AD100" s="102">
        <v>43987</v>
      </c>
      <c r="AE100" s="102"/>
      <c r="AF100" s="102"/>
      <c r="AG100" s="102"/>
      <c r="AH100" s="103"/>
      <c r="AI100" s="103"/>
      <c r="AJ100" s="103"/>
      <c r="AK100" s="168"/>
      <c r="AL100" s="142"/>
      <c r="AM100" s="15"/>
      <c r="AN100" s="15" t="s">
        <v>861</v>
      </c>
    </row>
    <row r="101" spans="2:40" x14ac:dyDescent="0.25">
      <c r="B101" s="174">
        <f t="shared" si="15"/>
        <v>42</v>
      </c>
      <c r="C101" s="16">
        <v>20200528</v>
      </c>
      <c r="D101" s="16" t="s">
        <v>3</v>
      </c>
      <c r="E101" s="150" t="s">
        <v>682</v>
      </c>
      <c r="F101" s="101" t="s">
        <v>735</v>
      </c>
      <c r="G101" s="52" t="s">
        <v>61</v>
      </c>
      <c r="H101" s="16" t="s">
        <v>847</v>
      </c>
      <c r="I101" s="16" t="s">
        <v>799</v>
      </c>
      <c r="J101" s="16" t="s">
        <v>856</v>
      </c>
      <c r="K101" s="52" t="s">
        <v>61</v>
      </c>
      <c r="L101" s="52" t="s">
        <v>61</v>
      </c>
      <c r="M101" s="52" t="s">
        <v>61</v>
      </c>
      <c r="N101" s="16" t="s">
        <v>753</v>
      </c>
      <c r="O101" s="101" t="s">
        <v>61</v>
      </c>
      <c r="P101" s="101" t="s">
        <v>754</v>
      </c>
      <c r="Q101" s="18"/>
      <c r="R101" s="109" t="s">
        <v>94</v>
      </c>
      <c r="S101" s="16" t="s">
        <v>142</v>
      </c>
      <c r="T101" s="16"/>
      <c r="U101" s="16"/>
      <c r="V101" s="16">
        <v>56</v>
      </c>
      <c r="W101" s="15">
        <f>ROUND(IF(D101=Table!$C$3,Y101*Table!$C$4/8,Y101*Table!$D$4/8),3)</f>
        <v>90</v>
      </c>
      <c r="X101" s="16"/>
      <c r="Y101" s="16">
        <v>1.6</v>
      </c>
      <c r="Z101" s="16"/>
      <c r="AA101" s="16"/>
      <c r="AB101" s="102"/>
      <c r="AC101" s="102">
        <v>43979</v>
      </c>
      <c r="AD101" s="102">
        <v>43987</v>
      </c>
      <c r="AE101" s="102"/>
      <c r="AF101" s="102"/>
      <c r="AG101" s="102"/>
      <c r="AH101" s="103"/>
      <c r="AI101" s="103"/>
      <c r="AJ101" s="103"/>
      <c r="AK101" s="168"/>
      <c r="AL101" s="142"/>
      <c r="AM101" s="15"/>
      <c r="AN101" s="15" t="s">
        <v>861</v>
      </c>
    </row>
    <row r="102" spans="2:40" x14ac:dyDescent="0.25">
      <c r="B102" s="174">
        <f t="shared" si="15"/>
        <v>43</v>
      </c>
      <c r="C102" s="16">
        <v>20200528</v>
      </c>
      <c r="D102" s="16" t="s">
        <v>3</v>
      </c>
      <c r="E102" s="150" t="s">
        <v>682</v>
      </c>
      <c r="F102" s="101" t="s">
        <v>736</v>
      </c>
      <c r="G102" s="52" t="s">
        <v>61</v>
      </c>
      <c r="H102" s="16" t="s">
        <v>848</v>
      </c>
      <c r="I102" s="16" t="s">
        <v>800</v>
      </c>
      <c r="J102" s="16" t="s">
        <v>857</v>
      </c>
      <c r="K102" s="52" t="s">
        <v>61</v>
      </c>
      <c r="L102" s="52" t="s">
        <v>61</v>
      </c>
      <c r="M102" s="52" t="s">
        <v>61</v>
      </c>
      <c r="N102" s="16" t="s">
        <v>753</v>
      </c>
      <c r="O102" s="101" t="s">
        <v>61</v>
      </c>
      <c r="P102" s="101" t="s">
        <v>754</v>
      </c>
      <c r="Q102" s="18"/>
      <c r="R102" s="109" t="s">
        <v>94</v>
      </c>
      <c r="S102" s="16" t="s">
        <v>142</v>
      </c>
      <c r="T102" s="16"/>
      <c r="U102" s="16"/>
      <c r="V102" s="16">
        <v>89</v>
      </c>
      <c r="W102" s="15">
        <f>ROUND(IF(D102=Table!$C$3,Y102*Table!$C$4/8,Y102*Table!$D$4/8),3)</f>
        <v>90</v>
      </c>
      <c r="X102" s="16"/>
      <c r="Y102" s="16">
        <v>1.6</v>
      </c>
      <c r="Z102" s="16"/>
      <c r="AA102" s="16"/>
      <c r="AB102" s="102"/>
      <c r="AC102" s="102">
        <v>43979</v>
      </c>
      <c r="AD102" s="102">
        <v>43987</v>
      </c>
      <c r="AE102" s="102"/>
      <c r="AF102" s="102"/>
      <c r="AG102" s="102"/>
      <c r="AH102" s="103"/>
      <c r="AI102" s="103"/>
      <c r="AJ102" s="103"/>
      <c r="AK102" s="168"/>
      <c r="AL102" s="142"/>
      <c r="AM102" s="15"/>
      <c r="AN102" s="15" t="s">
        <v>862</v>
      </c>
    </row>
    <row r="103" spans="2:40" x14ac:dyDescent="0.25">
      <c r="B103" s="174">
        <f t="shared" si="15"/>
        <v>44</v>
      </c>
      <c r="C103" s="16">
        <v>20200528</v>
      </c>
      <c r="D103" s="16" t="s">
        <v>3</v>
      </c>
      <c r="E103" s="150" t="s">
        <v>682</v>
      </c>
      <c r="F103" s="101" t="s">
        <v>736</v>
      </c>
      <c r="G103" s="52" t="s">
        <v>61</v>
      </c>
      <c r="H103" s="16" t="s">
        <v>819</v>
      </c>
      <c r="I103" s="16" t="s">
        <v>801</v>
      </c>
      <c r="J103" s="16" t="s">
        <v>857</v>
      </c>
      <c r="K103" s="52" t="s">
        <v>61</v>
      </c>
      <c r="L103" s="52" t="s">
        <v>61</v>
      </c>
      <c r="M103" s="52" t="s">
        <v>61</v>
      </c>
      <c r="N103" s="16" t="s">
        <v>753</v>
      </c>
      <c r="O103" s="101" t="s">
        <v>61</v>
      </c>
      <c r="P103" s="101" t="s">
        <v>754</v>
      </c>
      <c r="Q103" s="18"/>
      <c r="R103" s="109" t="s">
        <v>94</v>
      </c>
      <c r="S103" s="16" t="s">
        <v>142</v>
      </c>
      <c r="T103" s="16"/>
      <c r="U103" s="16"/>
      <c r="V103" s="16">
        <v>67</v>
      </c>
      <c r="W103" s="15">
        <f>ROUND(IF(D103=Table!$C$3,Y103*Table!$C$4/8,Y103*Table!$D$4/8),3)</f>
        <v>90</v>
      </c>
      <c r="X103" s="16"/>
      <c r="Y103" s="16">
        <v>1.6</v>
      </c>
      <c r="Z103" s="16"/>
      <c r="AA103" s="16"/>
      <c r="AB103" s="102"/>
      <c r="AC103" s="102">
        <v>43979</v>
      </c>
      <c r="AD103" s="102">
        <v>43987</v>
      </c>
      <c r="AE103" s="102"/>
      <c r="AF103" s="102"/>
      <c r="AG103" s="102"/>
      <c r="AH103" s="103"/>
      <c r="AI103" s="103"/>
      <c r="AJ103" s="103"/>
      <c r="AK103" s="168"/>
      <c r="AL103" s="142"/>
      <c r="AM103" s="15"/>
      <c r="AN103" s="15" t="s">
        <v>862</v>
      </c>
    </row>
    <row r="104" spans="2:40" x14ac:dyDescent="0.25">
      <c r="B104" s="174">
        <f t="shared" si="15"/>
        <v>45</v>
      </c>
      <c r="C104" s="16">
        <v>20200528</v>
      </c>
      <c r="D104" s="16" t="s">
        <v>3</v>
      </c>
      <c r="E104" s="150" t="s">
        <v>682</v>
      </c>
      <c r="F104" s="101" t="s">
        <v>736</v>
      </c>
      <c r="G104" s="52" t="s">
        <v>61</v>
      </c>
      <c r="H104" s="16" t="s">
        <v>849</v>
      </c>
      <c r="I104" s="16" t="s">
        <v>802</v>
      </c>
      <c r="J104" s="16" t="s">
        <v>857</v>
      </c>
      <c r="K104" s="52" t="s">
        <v>61</v>
      </c>
      <c r="L104" s="52" t="s">
        <v>61</v>
      </c>
      <c r="M104" s="52" t="s">
        <v>61</v>
      </c>
      <c r="N104" s="16" t="s">
        <v>753</v>
      </c>
      <c r="O104" s="101" t="s">
        <v>61</v>
      </c>
      <c r="P104" s="101" t="s">
        <v>754</v>
      </c>
      <c r="Q104" s="18"/>
      <c r="R104" s="109" t="s">
        <v>94</v>
      </c>
      <c r="S104" s="16" t="s">
        <v>142</v>
      </c>
      <c r="T104" s="16"/>
      <c r="U104" s="16"/>
      <c r="V104" s="16">
        <v>145</v>
      </c>
      <c r="W104" s="15">
        <f>ROUND(IF(D104=Table!$C$3,Y104*Table!$C$4/8,Y104*Table!$D$4/8),3)</f>
        <v>144</v>
      </c>
      <c r="X104" s="16"/>
      <c r="Y104" s="16">
        <v>2.56</v>
      </c>
      <c r="Z104" s="16"/>
      <c r="AA104" s="16"/>
      <c r="AB104" s="102"/>
      <c r="AC104" s="102">
        <v>43979</v>
      </c>
      <c r="AD104" s="102">
        <v>43987</v>
      </c>
      <c r="AE104" s="102"/>
      <c r="AF104" s="102"/>
      <c r="AG104" s="102"/>
      <c r="AH104" s="103"/>
      <c r="AI104" s="103"/>
      <c r="AJ104" s="103"/>
      <c r="AK104" s="168"/>
      <c r="AL104" s="142"/>
      <c r="AM104" s="15"/>
      <c r="AN104" s="15" t="s">
        <v>862</v>
      </c>
    </row>
    <row r="105" spans="2:40" x14ac:dyDescent="0.25">
      <c r="B105" s="174">
        <f t="shared" si="15"/>
        <v>46</v>
      </c>
      <c r="C105" s="16">
        <v>20200528</v>
      </c>
      <c r="D105" s="16" t="s">
        <v>3</v>
      </c>
      <c r="E105" s="150" t="s">
        <v>682</v>
      </c>
      <c r="F105" s="101" t="s">
        <v>736</v>
      </c>
      <c r="G105" s="52" t="s">
        <v>61</v>
      </c>
      <c r="H105" s="16" t="s">
        <v>746</v>
      </c>
      <c r="I105" s="16" t="s">
        <v>803</v>
      </c>
      <c r="J105" s="16" t="s">
        <v>857</v>
      </c>
      <c r="K105" s="52" t="s">
        <v>61</v>
      </c>
      <c r="L105" s="52" t="s">
        <v>61</v>
      </c>
      <c r="M105" s="52" t="s">
        <v>61</v>
      </c>
      <c r="N105" s="16" t="s">
        <v>753</v>
      </c>
      <c r="O105" s="101" t="s">
        <v>61</v>
      </c>
      <c r="P105" s="101" t="s">
        <v>754</v>
      </c>
      <c r="Q105" s="18"/>
      <c r="R105" s="109" t="s">
        <v>94</v>
      </c>
      <c r="S105" s="16" t="s">
        <v>142</v>
      </c>
      <c r="T105" s="16"/>
      <c r="U105" s="16"/>
      <c r="V105" s="16">
        <v>47</v>
      </c>
      <c r="W105" s="15">
        <f>ROUND(IF(D105=Table!$C$3,Y105*Table!$C$4/8,Y105*Table!$D$4/8),3)</f>
        <v>90</v>
      </c>
      <c r="X105" s="16"/>
      <c r="Y105" s="16">
        <v>1.6</v>
      </c>
      <c r="Z105" s="16"/>
      <c r="AA105" s="16"/>
      <c r="AB105" s="102"/>
      <c r="AC105" s="102">
        <v>43979</v>
      </c>
      <c r="AD105" s="102">
        <v>43987</v>
      </c>
      <c r="AE105" s="102"/>
      <c r="AF105" s="102"/>
      <c r="AG105" s="102"/>
      <c r="AH105" s="103"/>
      <c r="AI105" s="103"/>
      <c r="AJ105" s="103"/>
      <c r="AK105" s="168"/>
      <c r="AL105" s="142"/>
      <c r="AM105" s="15"/>
      <c r="AN105" s="15" t="s">
        <v>862</v>
      </c>
    </row>
    <row r="106" spans="2:40" x14ac:dyDescent="0.25">
      <c r="B106" s="174">
        <f t="shared" si="15"/>
        <v>47</v>
      </c>
      <c r="C106" s="16">
        <v>20200528</v>
      </c>
      <c r="D106" s="16" t="s">
        <v>3</v>
      </c>
      <c r="E106" s="150" t="s">
        <v>682</v>
      </c>
      <c r="F106" s="101" t="s">
        <v>736</v>
      </c>
      <c r="G106" s="52" t="s">
        <v>61</v>
      </c>
      <c r="H106" s="16" t="s">
        <v>820</v>
      </c>
      <c r="I106" s="16" t="s">
        <v>804</v>
      </c>
      <c r="J106" s="16" t="s">
        <v>857</v>
      </c>
      <c r="K106" s="52" t="s">
        <v>61</v>
      </c>
      <c r="L106" s="52" t="s">
        <v>61</v>
      </c>
      <c r="M106" s="52" t="s">
        <v>61</v>
      </c>
      <c r="N106" s="16" t="s">
        <v>753</v>
      </c>
      <c r="O106" s="101" t="s">
        <v>61</v>
      </c>
      <c r="P106" s="101" t="s">
        <v>754</v>
      </c>
      <c r="Q106" s="18"/>
      <c r="R106" s="109" t="s">
        <v>94</v>
      </c>
      <c r="S106" s="16" t="s">
        <v>142</v>
      </c>
      <c r="T106" s="16"/>
      <c r="U106" s="16"/>
      <c r="V106" s="16">
        <v>71</v>
      </c>
      <c r="W106" s="15">
        <f>ROUND(IF(D106=Table!$C$3,Y106*Table!$C$4/8,Y106*Table!$D$4/8),3)</f>
        <v>90</v>
      </c>
      <c r="X106" s="16"/>
      <c r="Y106" s="16">
        <v>1.6</v>
      </c>
      <c r="Z106" s="16"/>
      <c r="AA106" s="16"/>
      <c r="AB106" s="102"/>
      <c r="AC106" s="102">
        <v>43979</v>
      </c>
      <c r="AD106" s="102">
        <v>43987</v>
      </c>
      <c r="AE106" s="102"/>
      <c r="AF106" s="102"/>
      <c r="AG106" s="102"/>
      <c r="AH106" s="103"/>
      <c r="AI106" s="103"/>
      <c r="AJ106" s="103"/>
      <c r="AK106" s="168"/>
      <c r="AL106" s="142"/>
      <c r="AM106" s="15"/>
      <c r="AN106" s="15" t="s">
        <v>862</v>
      </c>
    </row>
    <row r="107" spans="2:40" x14ac:dyDescent="0.25">
      <c r="B107" s="174">
        <f t="shared" si="15"/>
        <v>48</v>
      </c>
      <c r="C107" s="16">
        <v>20200528</v>
      </c>
      <c r="D107" s="16" t="s">
        <v>3</v>
      </c>
      <c r="E107" s="150" t="s">
        <v>682</v>
      </c>
      <c r="F107" s="101" t="s">
        <v>736</v>
      </c>
      <c r="G107" s="52" t="s">
        <v>61</v>
      </c>
      <c r="H107" s="16" t="s">
        <v>850</v>
      </c>
      <c r="I107" s="16" t="s">
        <v>805</v>
      </c>
      <c r="J107" s="16" t="s">
        <v>857</v>
      </c>
      <c r="K107" s="52" t="s">
        <v>61</v>
      </c>
      <c r="L107" s="52" t="s">
        <v>61</v>
      </c>
      <c r="M107" s="52" t="s">
        <v>61</v>
      </c>
      <c r="N107" s="16" t="s">
        <v>753</v>
      </c>
      <c r="O107" s="101" t="s">
        <v>61</v>
      </c>
      <c r="P107" s="101" t="s">
        <v>754</v>
      </c>
      <c r="Q107" s="18"/>
      <c r="R107" s="109" t="s">
        <v>94</v>
      </c>
      <c r="S107" s="16" t="s">
        <v>142</v>
      </c>
      <c r="T107" s="16"/>
      <c r="U107" s="16"/>
      <c r="V107" s="16">
        <v>529</v>
      </c>
      <c r="W107" s="15">
        <f>ROUND(IF(D107=Table!$C$3,Y107*Table!$C$4/8,Y107*Table!$D$4/8),3)</f>
        <v>562.5</v>
      </c>
      <c r="X107" s="16"/>
      <c r="Y107" s="16">
        <v>10</v>
      </c>
      <c r="Z107" s="16"/>
      <c r="AA107" s="16"/>
      <c r="AB107" s="102"/>
      <c r="AC107" s="102">
        <v>43979</v>
      </c>
      <c r="AD107" s="102">
        <v>43987</v>
      </c>
      <c r="AE107" s="102"/>
      <c r="AF107" s="102"/>
      <c r="AG107" s="102"/>
      <c r="AH107" s="103"/>
      <c r="AI107" s="103"/>
      <c r="AJ107" s="103"/>
      <c r="AK107" s="168"/>
      <c r="AL107" s="142"/>
      <c r="AM107" s="15"/>
      <c r="AN107" s="15" t="s">
        <v>862</v>
      </c>
    </row>
    <row r="108" spans="2:40" x14ac:dyDescent="0.25">
      <c r="B108" s="174">
        <f t="shared" si="15"/>
        <v>49</v>
      </c>
      <c r="C108" s="16">
        <v>20200528</v>
      </c>
      <c r="D108" s="16" t="s">
        <v>3</v>
      </c>
      <c r="E108" s="150" t="s">
        <v>682</v>
      </c>
      <c r="F108" s="101" t="s">
        <v>736</v>
      </c>
      <c r="G108" s="52" t="s">
        <v>61</v>
      </c>
      <c r="H108" s="16" t="s">
        <v>851</v>
      </c>
      <c r="I108" s="16" t="s">
        <v>806</v>
      </c>
      <c r="J108" s="16" t="s">
        <v>857</v>
      </c>
      <c r="K108" s="52" t="s">
        <v>61</v>
      </c>
      <c r="L108" s="52" t="s">
        <v>61</v>
      </c>
      <c r="M108" s="52" t="s">
        <v>61</v>
      </c>
      <c r="N108" s="16" t="s">
        <v>753</v>
      </c>
      <c r="O108" s="101" t="s">
        <v>61</v>
      </c>
      <c r="P108" s="101" t="s">
        <v>754</v>
      </c>
      <c r="Q108" s="18"/>
      <c r="R108" s="109" t="s">
        <v>94</v>
      </c>
      <c r="S108" s="16" t="s">
        <v>142</v>
      </c>
      <c r="T108" s="16"/>
      <c r="U108" s="16"/>
      <c r="V108" s="16">
        <v>88</v>
      </c>
      <c r="W108" s="15">
        <f>ROUND(IF(D108=Table!$C$3,Y108*Table!$C$4/8,Y108*Table!$D$4/8),3)</f>
        <v>90</v>
      </c>
      <c r="X108" s="16"/>
      <c r="Y108" s="16">
        <v>1.6</v>
      </c>
      <c r="Z108" s="16"/>
      <c r="AA108" s="16"/>
      <c r="AB108" s="102"/>
      <c r="AC108" s="102">
        <v>43979</v>
      </c>
      <c r="AD108" s="102">
        <v>43987</v>
      </c>
      <c r="AE108" s="102"/>
      <c r="AF108" s="102"/>
      <c r="AG108" s="102"/>
      <c r="AH108" s="103"/>
      <c r="AI108" s="103"/>
      <c r="AJ108" s="103"/>
      <c r="AK108" s="168"/>
      <c r="AL108" s="142"/>
      <c r="AM108" s="15"/>
      <c r="AN108" s="15" t="s">
        <v>862</v>
      </c>
    </row>
    <row r="109" spans="2:40" x14ac:dyDescent="0.25">
      <c r="B109" s="174">
        <f t="shared" si="15"/>
        <v>50</v>
      </c>
      <c r="C109" s="16">
        <v>20200528</v>
      </c>
      <c r="D109" s="16" t="s">
        <v>3</v>
      </c>
      <c r="E109" s="150" t="s">
        <v>682</v>
      </c>
      <c r="F109" s="101" t="s">
        <v>736</v>
      </c>
      <c r="G109" s="52" t="s">
        <v>61</v>
      </c>
      <c r="H109" s="16" t="s">
        <v>852</v>
      </c>
      <c r="I109" s="16" t="s">
        <v>807</v>
      </c>
      <c r="J109" s="16" t="s">
        <v>857</v>
      </c>
      <c r="K109" s="52" t="s">
        <v>61</v>
      </c>
      <c r="L109" s="52" t="s">
        <v>61</v>
      </c>
      <c r="M109" s="52" t="s">
        <v>61</v>
      </c>
      <c r="N109" s="16" t="s">
        <v>753</v>
      </c>
      <c r="O109" s="101" t="s">
        <v>61</v>
      </c>
      <c r="P109" s="101" t="s">
        <v>754</v>
      </c>
      <c r="Q109" s="18"/>
      <c r="R109" s="109" t="s">
        <v>94</v>
      </c>
      <c r="S109" s="16" t="s">
        <v>142</v>
      </c>
      <c r="T109" s="16"/>
      <c r="U109" s="16"/>
      <c r="V109" s="16">
        <v>108</v>
      </c>
      <c r="W109" s="15">
        <f>ROUND(IF(D109=Table!$C$3,Y109*Table!$C$4/8,Y109*Table!$D$4/8),3)</f>
        <v>103.5</v>
      </c>
      <c r="X109" s="16"/>
      <c r="Y109" s="16">
        <v>1.84</v>
      </c>
      <c r="Z109" s="16"/>
      <c r="AA109" s="16"/>
      <c r="AB109" s="102"/>
      <c r="AC109" s="102">
        <v>43979</v>
      </c>
      <c r="AD109" s="102">
        <v>43987</v>
      </c>
      <c r="AE109" s="102"/>
      <c r="AF109" s="102"/>
      <c r="AG109" s="102"/>
      <c r="AH109" s="103"/>
      <c r="AI109" s="103"/>
      <c r="AJ109" s="103"/>
      <c r="AK109" s="168"/>
      <c r="AL109" s="142"/>
      <c r="AM109" s="15"/>
      <c r="AN109" s="15" t="s">
        <v>862</v>
      </c>
    </row>
    <row r="110" spans="2:40" x14ac:dyDescent="0.25">
      <c r="B110" s="174">
        <f t="shared" si="15"/>
        <v>51</v>
      </c>
      <c r="C110" s="16">
        <v>20200528</v>
      </c>
      <c r="D110" s="16" t="s">
        <v>3</v>
      </c>
      <c r="E110" s="150" t="s">
        <v>682</v>
      </c>
      <c r="F110" s="101" t="s">
        <v>736</v>
      </c>
      <c r="G110" s="52" t="s">
        <v>61</v>
      </c>
      <c r="H110" s="16" t="s">
        <v>853</v>
      </c>
      <c r="I110" s="16" t="s">
        <v>808</v>
      </c>
      <c r="J110" s="16" t="s">
        <v>857</v>
      </c>
      <c r="K110" s="52" t="s">
        <v>61</v>
      </c>
      <c r="L110" s="52" t="s">
        <v>61</v>
      </c>
      <c r="M110" s="52" t="s">
        <v>61</v>
      </c>
      <c r="N110" s="16" t="s">
        <v>753</v>
      </c>
      <c r="O110" s="101" t="s">
        <v>61</v>
      </c>
      <c r="P110" s="101" t="s">
        <v>754</v>
      </c>
      <c r="Q110" s="18"/>
      <c r="R110" s="109" t="s">
        <v>94</v>
      </c>
      <c r="S110" s="16" t="s">
        <v>142</v>
      </c>
      <c r="T110" s="16"/>
      <c r="U110" s="16"/>
      <c r="V110" s="16">
        <v>80</v>
      </c>
      <c r="W110" s="15">
        <f>ROUND(IF(D110=Table!$C$3,Y110*Table!$C$4/8,Y110*Table!$D$4/8),3)</f>
        <v>90</v>
      </c>
      <c r="X110" s="16"/>
      <c r="Y110" s="16">
        <v>1.6</v>
      </c>
      <c r="Z110" s="16"/>
      <c r="AA110" s="16"/>
      <c r="AB110" s="102"/>
      <c r="AC110" s="102">
        <v>43979</v>
      </c>
      <c r="AD110" s="102">
        <v>43987</v>
      </c>
      <c r="AE110" s="102"/>
      <c r="AF110" s="102"/>
      <c r="AG110" s="102"/>
      <c r="AH110" s="103"/>
      <c r="AI110" s="103"/>
      <c r="AJ110" s="103"/>
      <c r="AK110" s="168"/>
      <c r="AL110" s="142"/>
      <c r="AM110" s="15"/>
      <c r="AN110" s="15" t="s">
        <v>862</v>
      </c>
    </row>
    <row r="111" spans="2:40" x14ac:dyDescent="0.25">
      <c r="B111" s="174">
        <f t="shared" si="15"/>
        <v>52</v>
      </c>
      <c r="C111" s="16">
        <v>20200528</v>
      </c>
      <c r="D111" s="16" t="s">
        <v>3</v>
      </c>
      <c r="E111" s="150" t="s">
        <v>682</v>
      </c>
      <c r="F111" s="101" t="s">
        <v>736</v>
      </c>
      <c r="G111" s="52" t="s">
        <v>61</v>
      </c>
      <c r="H111" s="16" t="s">
        <v>854</v>
      </c>
      <c r="I111" s="16" t="s">
        <v>809</v>
      </c>
      <c r="J111" s="16" t="s">
        <v>857</v>
      </c>
      <c r="K111" s="52" t="s">
        <v>61</v>
      </c>
      <c r="L111" s="52" t="s">
        <v>61</v>
      </c>
      <c r="M111" s="52" t="s">
        <v>61</v>
      </c>
      <c r="N111" s="16" t="s">
        <v>753</v>
      </c>
      <c r="O111" s="101" t="s">
        <v>61</v>
      </c>
      <c r="P111" s="101" t="s">
        <v>754</v>
      </c>
      <c r="Q111" s="18"/>
      <c r="R111" s="109" t="s">
        <v>94</v>
      </c>
      <c r="S111" s="16" t="s">
        <v>142</v>
      </c>
      <c r="T111" s="16"/>
      <c r="U111" s="16"/>
      <c r="V111" s="16">
        <v>125</v>
      </c>
      <c r="W111" s="15">
        <f>ROUND(IF(D111=Table!$C$3,Y111*Table!$C$4/8,Y111*Table!$D$4/8),3)</f>
        <v>121.5</v>
      </c>
      <c r="X111" s="16"/>
      <c r="Y111" s="16">
        <v>2.16</v>
      </c>
      <c r="Z111" s="16"/>
      <c r="AA111" s="16"/>
      <c r="AB111" s="102"/>
      <c r="AC111" s="102">
        <v>43979</v>
      </c>
      <c r="AD111" s="102">
        <v>43987</v>
      </c>
      <c r="AE111" s="102"/>
      <c r="AF111" s="102"/>
      <c r="AG111" s="102"/>
      <c r="AH111" s="103"/>
      <c r="AI111" s="103"/>
      <c r="AJ111" s="103"/>
      <c r="AK111" s="168"/>
      <c r="AL111" s="142"/>
      <c r="AM111" s="15"/>
      <c r="AN111" s="15" t="s">
        <v>862</v>
      </c>
    </row>
    <row r="112" spans="2:40" x14ac:dyDescent="0.25">
      <c r="B112" s="174">
        <f t="shared" si="15"/>
        <v>53</v>
      </c>
      <c r="C112" s="16">
        <v>20200528</v>
      </c>
      <c r="D112" s="16" t="s">
        <v>3</v>
      </c>
      <c r="E112" s="150" t="s">
        <v>682</v>
      </c>
      <c r="F112" s="101" t="s">
        <v>736</v>
      </c>
      <c r="G112" s="52" t="s">
        <v>61</v>
      </c>
      <c r="H112" s="16" t="s">
        <v>855</v>
      </c>
      <c r="I112" s="16" t="s">
        <v>810</v>
      </c>
      <c r="J112" s="16" t="s">
        <v>857</v>
      </c>
      <c r="K112" s="52" t="s">
        <v>61</v>
      </c>
      <c r="L112" s="52" t="s">
        <v>61</v>
      </c>
      <c r="M112" s="52" t="s">
        <v>61</v>
      </c>
      <c r="N112" s="16" t="s">
        <v>753</v>
      </c>
      <c r="O112" s="101" t="s">
        <v>61</v>
      </c>
      <c r="P112" s="101" t="s">
        <v>754</v>
      </c>
      <c r="Q112" s="18"/>
      <c r="R112" s="109" t="s">
        <v>94</v>
      </c>
      <c r="S112" s="16" t="s">
        <v>142</v>
      </c>
      <c r="T112" s="16"/>
      <c r="U112" s="16"/>
      <c r="V112" s="16">
        <v>416</v>
      </c>
      <c r="W112" s="15">
        <f>ROUND(IF(D112=Table!$C$3,Y112*Table!$C$4/8,Y112*Table!$D$4/8),3)</f>
        <v>450</v>
      </c>
      <c r="X112" s="16"/>
      <c r="Y112" s="16">
        <v>8</v>
      </c>
      <c r="Z112" s="16"/>
      <c r="AA112" s="16"/>
      <c r="AB112" s="102"/>
      <c r="AC112" s="102">
        <v>43979</v>
      </c>
      <c r="AD112" s="102">
        <v>43987</v>
      </c>
      <c r="AE112" s="102"/>
      <c r="AF112" s="102"/>
      <c r="AG112" s="102"/>
      <c r="AH112" s="103"/>
      <c r="AI112" s="103"/>
      <c r="AJ112" s="103"/>
      <c r="AK112" s="168"/>
      <c r="AL112" s="142"/>
      <c r="AM112" s="15"/>
      <c r="AN112" s="15" t="s">
        <v>862</v>
      </c>
    </row>
    <row r="113" spans="2:40" x14ac:dyDescent="0.25">
      <c r="B113" s="174">
        <f t="shared" si="15"/>
        <v>54</v>
      </c>
      <c r="C113" s="16">
        <v>20200528</v>
      </c>
      <c r="D113" s="16" t="s">
        <v>3</v>
      </c>
      <c r="E113" s="150" t="s">
        <v>682</v>
      </c>
      <c r="F113" s="101" t="s">
        <v>736</v>
      </c>
      <c r="G113" s="52" t="s">
        <v>61</v>
      </c>
      <c r="H113" s="16" t="s">
        <v>826</v>
      </c>
      <c r="I113" s="16" t="s">
        <v>811</v>
      </c>
      <c r="J113" s="16" t="s">
        <v>857</v>
      </c>
      <c r="K113" s="52" t="s">
        <v>61</v>
      </c>
      <c r="L113" s="52" t="s">
        <v>61</v>
      </c>
      <c r="M113" s="52" t="s">
        <v>61</v>
      </c>
      <c r="N113" s="16" t="s">
        <v>753</v>
      </c>
      <c r="O113" s="101" t="s">
        <v>61</v>
      </c>
      <c r="P113" s="101" t="s">
        <v>754</v>
      </c>
      <c r="Q113" s="18"/>
      <c r="R113" s="109" t="s">
        <v>94</v>
      </c>
      <c r="S113" s="16" t="s">
        <v>142</v>
      </c>
      <c r="T113" s="16"/>
      <c r="U113" s="16"/>
      <c r="V113" s="16">
        <v>57</v>
      </c>
      <c r="W113" s="15">
        <f>ROUND(IF(D113=Table!$C$3,Y113*Table!$C$4/8,Y113*Table!$D$4/8),3)</f>
        <v>90</v>
      </c>
      <c r="X113" s="16"/>
      <c r="Y113" s="16">
        <v>1.6</v>
      </c>
      <c r="Z113" s="16"/>
      <c r="AA113" s="16"/>
      <c r="AB113" s="102"/>
      <c r="AC113" s="102">
        <v>43979</v>
      </c>
      <c r="AD113" s="102">
        <v>43987</v>
      </c>
      <c r="AE113" s="102"/>
      <c r="AF113" s="102"/>
      <c r="AG113" s="102"/>
      <c r="AH113" s="103"/>
      <c r="AI113" s="103"/>
      <c r="AJ113" s="103"/>
      <c r="AK113" s="168"/>
      <c r="AL113" s="142"/>
      <c r="AM113" s="15"/>
      <c r="AN113" s="15" t="s">
        <v>862</v>
      </c>
    </row>
    <row r="114" spans="2:40" x14ac:dyDescent="0.25">
      <c r="B114" s="174">
        <f t="shared" si="15"/>
        <v>55</v>
      </c>
      <c r="C114" s="16">
        <v>20200528</v>
      </c>
      <c r="D114" s="16" t="s">
        <v>3</v>
      </c>
      <c r="E114" s="150" t="s">
        <v>682</v>
      </c>
      <c r="F114" s="101" t="s">
        <v>736</v>
      </c>
      <c r="G114" s="52" t="s">
        <v>61</v>
      </c>
      <c r="H114" s="16" t="s">
        <v>829</v>
      </c>
      <c r="I114" s="16" t="s">
        <v>812</v>
      </c>
      <c r="J114" s="16" t="s">
        <v>857</v>
      </c>
      <c r="K114" s="52" t="s">
        <v>61</v>
      </c>
      <c r="L114" s="52" t="s">
        <v>61</v>
      </c>
      <c r="M114" s="52" t="s">
        <v>61</v>
      </c>
      <c r="N114" s="16" t="s">
        <v>753</v>
      </c>
      <c r="O114" s="101" t="s">
        <v>61</v>
      </c>
      <c r="P114" s="101" t="s">
        <v>754</v>
      </c>
      <c r="Q114" s="18"/>
      <c r="R114" s="109" t="s">
        <v>94</v>
      </c>
      <c r="S114" s="16" t="s">
        <v>142</v>
      </c>
      <c r="T114" s="16"/>
      <c r="U114" s="16"/>
      <c r="V114" s="16">
        <v>122</v>
      </c>
      <c r="W114" s="15">
        <f>ROUND(IF(D114=Table!$C$3,Y114*Table!$C$4/8,Y114*Table!$D$4/8),3)</f>
        <v>90</v>
      </c>
      <c r="X114" s="16"/>
      <c r="Y114" s="16">
        <v>1.6</v>
      </c>
      <c r="Z114" s="16"/>
      <c r="AA114" s="16"/>
      <c r="AB114" s="102"/>
      <c r="AC114" s="102">
        <v>43979</v>
      </c>
      <c r="AD114" s="102">
        <v>43987</v>
      </c>
      <c r="AE114" s="102"/>
      <c r="AF114" s="102"/>
      <c r="AG114" s="102"/>
      <c r="AH114" s="103"/>
      <c r="AI114" s="103"/>
      <c r="AJ114" s="103"/>
      <c r="AK114" s="168"/>
      <c r="AL114" s="142"/>
      <c r="AM114" s="15"/>
      <c r="AN114" s="15" t="s">
        <v>862</v>
      </c>
    </row>
    <row r="115" spans="2:40" x14ac:dyDescent="0.25">
      <c r="B115" s="20"/>
      <c r="C115" s="16"/>
      <c r="D115" s="16"/>
      <c r="E115" s="150"/>
      <c r="F115" s="101"/>
      <c r="G115" s="52" t="s">
        <v>61</v>
      </c>
      <c r="H115" s="16"/>
      <c r="I115" s="16"/>
      <c r="J115" s="16"/>
      <c r="K115" s="52" t="s">
        <v>61</v>
      </c>
      <c r="L115" s="52" t="s">
        <v>61</v>
      </c>
      <c r="M115" s="52" t="s">
        <v>61</v>
      </c>
      <c r="N115" s="16"/>
      <c r="O115" s="101"/>
      <c r="P115" s="101"/>
      <c r="Q115" s="18"/>
      <c r="R115" s="109"/>
      <c r="S115" s="16"/>
      <c r="T115" s="16"/>
      <c r="U115" s="16"/>
      <c r="V115" s="16"/>
      <c r="W115" s="16"/>
      <c r="X115" s="16"/>
      <c r="Y115" s="16"/>
      <c r="Z115" s="16"/>
      <c r="AA115" s="16"/>
      <c r="AB115" s="102"/>
      <c r="AC115" s="102"/>
      <c r="AD115" s="102"/>
      <c r="AE115" s="102"/>
      <c r="AF115" s="102"/>
      <c r="AG115" s="102"/>
      <c r="AH115" s="103"/>
      <c r="AI115" s="103"/>
      <c r="AJ115" s="103"/>
      <c r="AK115" s="168"/>
      <c r="AL115" s="142"/>
      <c r="AM115" s="15"/>
      <c r="AN115" s="15"/>
    </row>
    <row r="116" spans="2:40" x14ac:dyDescent="0.25">
      <c r="B116" s="20"/>
      <c r="C116" s="16"/>
      <c r="D116" s="16"/>
      <c r="E116" s="150"/>
      <c r="F116" s="101"/>
      <c r="G116" s="52" t="s">
        <v>61</v>
      </c>
      <c r="H116" s="16"/>
      <c r="I116" s="16"/>
      <c r="J116" s="16"/>
      <c r="K116" s="52" t="s">
        <v>61</v>
      </c>
      <c r="L116" s="52" t="s">
        <v>61</v>
      </c>
      <c r="M116" s="52" t="s">
        <v>61</v>
      </c>
      <c r="N116" s="16"/>
      <c r="O116" s="101"/>
      <c r="P116" s="101"/>
      <c r="Q116" s="18"/>
      <c r="R116" s="109"/>
      <c r="S116" s="16"/>
      <c r="T116" s="16"/>
      <c r="U116" s="16"/>
      <c r="V116" s="16"/>
      <c r="W116" s="16"/>
      <c r="X116" s="16"/>
      <c r="Y116" s="16"/>
      <c r="Z116" s="16"/>
      <c r="AA116" s="16"/>
      <c r="AB116" s="102"/>
      <c r="AC116" s="102"/>
      <c r="AD116" s="102"/>
      <c r="AE116" s="102"/>
      <c r="AF116" s="102"/>
      <c r="AG116" s="102"/>
      <c r="AH116" s="103"/>
      <c r="AI116" s="103"/>
      <c r="AJ116" s="103"/>
      <c r="AK116" s="168"/>
      <c r="AL116" s="142"/>
      <c r="AM116" s="15"/>
      <c r="AN116" s="15"/>
    </row>
    <row r="117" spans="2:40" x14ac:dyDescent="0.25">
      <c r="B117" s="20"/>
      <c r="C117" s="16"/>
      <c r="D117" s="16"/>
      <c r="E117" s="150"/>
      <c r="F117" s="101"/>
      <c r="G117" s="52" t="s">
        <v>61</v>
      </c>
      <c r="H117" s="16"/>
      <c r="I117" s="16"/>
      <c r="J117" s="16"/>
      <c r="K117" s="52" t="s">
        <v>61</v>
      </c>
      <c r="L117" s="52" t="s">
        <v>61</v>
      </c>
      <c r="M117" s="52" t="s">
        <v>61</v>
      </c>
      <c r="N117" s="16"/>
      <c r="O117" s="101"/>
      <c r="P117" s="101"/>
      <c r="Q117" s="18"/>
      <c r="R117" s="109"/>
      <c r="S117" s="16"/>
      <c r="T117" s="16"/>
      <c r="U117" s="16"/>
      <c r="V117" s="16"/>
      <c r="W117" s="16"/>
      <c r="X117" s="16"/>
      <c r="Y117" s="16"/>
      <c r="Z117" s="16"/>
      <c r="AA117" s="16"/>
      <c r="AB117" s="102"/>
      <c r="AC117" s="102"/>
      <c r="AD117" s="102"/>
      <c r="AE117" s="102"/>
      <c r="AF117" s="102"/>
      <c r="AG117" s="102"/>
      <c r="AH117" s="103"/>
      <c r="AI117" s="103"/>
      <c r="AJ117" s="103"/>
      <c r="AK117" s="168"/>
      <c r="AL117" s="142"/>
      <c r="AM117" s="15"/>
      <c r="AN117" s="15"/>
    </row>
    <row r="118" spans="2:40" x14ac:dyDescent="0.25">
      <c r="B118" s="20"/>
      <c r="C118" s="16"/>
      <c r="D118" s="16"/>
      <c r="E118" s="150"/>
      <c r="F118" s="101"/>
      <c r="G118" s="52" t="s">
        <v>61</v>
      </c>
      <c r="H118" s="16"/>
      <c r="I118" s="16"/>
      <c r="J118" s="16"/>
      <c r="K118" s="52" t="s">
        <v>61</v>
      </c>
      <c r="L118" s="52" t="s">
        <v>61</v>
      </c>
      <c r="M118" s="52" t="s">
        <v>61</v>
      </c>
      <c r="N118" s="16"/>
      <c r="O118" s="101"/>
      <c r="P118" s="101"/>
      <c r="Q118" s="18"/>
      <c r="R118" s="109"/>
      <c r="S118" s="16"/>
      <c r="T118" s="16"/>
      <c r="U118" s="16"/>
      <c r="V118" s="16"/>
      <c r="W118" s="16"/>
      <c r="X118" s="16"/>
      <c r="Y118" s="16"/>
      <c r="Z118" s="16"/>
      <c r="AA118" s="16"/>
      <c r="AB118" s="102"/>
      <c r="AC118" s="102"/>
      <c r="AD118" s="102"/>
      <c r="AE118" s="102"/>
      <c r="AF118" s="102"/>
      <c r="AG118" s="102"/>
      <c r="AH118" s="103"/>
      <c r="AI118" s="103"/>
      <c r="AJ118" s="103"/>
      <c r="AK118" s="168"/>
      <c r="AL118" s="142"/>
      <c r="AM118" s="15"/>
      <c r="AN118" s="15"/>
    </row>
    <row r="119" spans="2:40" x14ac:dyDescent="0.25">
      <c r="B119" s="20"/>
      <c r="C119" s="16"/>
      <c r="D119" s="16"/>
      <c r="E119" s="150"/>
      <c r="F119" s="101"/>
      <c r="G119" s="52" t="s">
        <v>61</v>
      </c>
      <c r="H119" s="16"/>
      <c r="I119" s="16"/>
      <c r="J119" s="16"/>
      <c r="K119" s="52" t="s">
        <v>61</v>
      </c>
      <c r="L119" s="52" t="s">
        <v>61</v>
      </c>
      <c r="M119" s="52" t="s">
        <v>61</v>
      </c>
      <c r="N119" s="16"/>
      <c r="O119" s="101"/>
      <c r="P119" s="101"/>
      <c r="Q119" s="18"/>
      <c r="R119" s="109"/>
      <c r="S119" s="16"/>
      <c r="T119" s="16"/>
      <c r="U119" s="16"/>
      <c r="V119" s="16"/>
      <c r="W119" s="16"/>
      <c r="X119" s="16"/>
      <c r="Y119" s="16"/>
      <c r="Z119" s="16"/>
      <c r="AA119" s="16"/>
      <c r="AB119" s="102"/>
      <c r="AC119" s="102"/>
      <c r="AD119" s="102"/>
      <c r="AE119" s="102"/>
      <c r="AF119" s="102"/>
      <c r="AG119" s="102"/>
      <c r="AH119" s="103"/>
      <c r="AI119" s="103"/>
      <c r="AJ119" s="103"/>
      <c r="AK119" s="168"/>
      <c r="AL119" s="142"/>
      <c r="AM119" s="15"/>
      <c r="AN119" s="15"/>
    </row>
    <row r="120" spans="2:40" x14ac:dyDescent="0.25">
      <c r="B120" s="20"/>
      <c r="C120" s="16"/>
      <c r="D120" s="16"/>
      <c r="E120" s="150"/>
      <c r="F120" s="101"/>
      <c r="G120" s="52" t="s">
        <v>61</v>
      </c>
      <c r="H120" s="16"/>
      <c r="I120" s="16"/>
      <c r="J120" s="16"/>
      <c r="K120" s="52" t="s">
        <v>61</v>
      </c>
      <c r="L120" s="52" t="s">
        <v>61</v>
      </c>
      <c r="M120" s="52" t="s">
        <v>61</v>
      </c>
      <c r="N120" s="16"/>
      <c r="O120" s="101"/>
      <c r="P120" s="101"/>
      <c r="Q120" s="18"/>
      <c r="R120" s="109"/>
      <c r="S120" s="16"/>
      <c r="T120" s="16"/>
      <c r="U120" s="16"/>
      <c r="V120" s="16"/>
      <c r="W120" s="16"/>
      <c r="X120" s="16"/>
      <c r="Y120" s="16"/>
      <c r="Z120" s="16"/>
      <c r="AA120" s="16"/>
      <c r="AB120" s="102"/>
      <c r="AC120" s="102"/>
      <c r="AD120" s="102"/>
      <c r="AE120" s="102"/>
      <c r="AF120" s="102"/>
      <c r="AG120" s="102"/>
      <c r="AH120" s="103"/>
      <c r="AI120" s="103"/>
      <c r="AJ120" s="103"/>
      <c r="AK120" s="168"/>
      <c r="AL120" s="142"/>
      <c r="AM120" s="15"/>
      <c r="AN120" s="15"/>
    </row>
    <row r="121" spans="2:40" x14ac:dyDescent="0.25">
      <c r="B121" s="20"/>
      <c r="C121" s="16"/>
      <c r="D121" s="16"/>
      <c r="E121" s="150"/>
      <c r="F121" s="101"/>
      <c r="G121" s="52" t="s">
        <v>61</v>
      </c>
      <c r="H121" s="16"/>
      <c r="I121" s="16"/>
      <c r="J121" s="16"/>
      <c r="K121" s="52" t="s">
        <v>61</v>
      </c>
      <c r="L121" s="52" t="s">
        <v>61</v>
      </c>
      <c r="M121" s="52" t="s">
        <v>61</v>
      </c>
      <c r="N121" s="16"/>
      <c r="O121" s="101"/>
      <c r="P121" s="101"/>
      <c r="Q121" s="18"/>
      <c r="R121" s="109"/>
      <c r="S121" s="16"/>
      <c r="T121" s="16"/>
      <c r="U121" s="16"/>
      <c r="V121" s="16"/>
      <c r="W121" s="16"/>
      <c r="X121" s="16"/>
      <c r="Y121" s="16"/>
      <c r="Z121" s="16"/>
      <c r="AA121" s="16"/>
      <c r="AB121" s="102"/>
      <c r="AC121" s="102"/>
      <c r="AD121" s="102"/>
      <c r="AE121" s="102"/>
      <c r="AF121" s="102"/>
      <c r="AG121" s="102"/>
      <c r="AH121" s="103"/>
      <c r="AI121" s="103"/>
      <c r="AJ121" s="103"/>
      <c r="AK121" s="168"/>
      <c r="AL121" s="142"/>
      <c r="AM121" s="15"/>
      <c r="AN121" s="15"/>
    </row>
    <row r="122" spans="2:40" x14ac:dyDescent="0.25">
      <c r="B122" s="20"/>
      <c r="C122" s="16"/>
      <c r="D122" s="16"/>
      <c r="E122" s="150"/>
      <c r="F122" s="101"/>
      <c r="G122" s="52" t="s">
        <v>61</v>
      </c>
      <c r="H122" s="16"/>
      <c r="I122" s="16"/>
      <c r="J122" s="16"/>
      <c r="K122" s="52" t="s">
        <v>61</v>
      </c>
      <c r="L122" s="52" t="s">
        <v>61</v>
      </c>
      <c r="M122" s="52" t="s">
        <v>61</v>
      </c>
      <c r="N122" s="16"/>
      <c r="O122" s="101"/>
      <c r="P122" s="101"/>
      <c r="Q122" s="18"/>
      <c r="R122" s="109"/>
      <c r="S122" s="16"/>
      <c r="T122" s="16"/>
      <c r="U122" s="16"/>
      <c r="V122" s="16"/>
      <c r="W122" s="16"/>
      <c r="X122" s="16"/>
      <c r="Y122" s="16"/>
      <c r="Z122" s="16"/>
      <c r="AA122" s="16"/>
      <c r="AB122" s="102"/>
      <c r="AC122" s="102"/>
      <c r="AD122" s="102"/>
      <c r="AE122" s="102"/>
      <c r="AF122" s="102"/>
      <c r="AG122" s="102"/>
      <c r="AH122" s="103"/>
      <c r="AI122" s="103"/>
      <c r="AJ122" s="103"/>
      <c r="AK122" s="168"/>
      <c r="AL122" s="142"/>
      <c r="AM122" s="15"/>
      <c r="AN122" s="15"/>
    </row>
    <row r="123" spans="2:40" x14ac:dyDescent="0.25">
      <c r="B123" s="20"/>
      <c r="C123" s="16"/>
      <c r="D123" s="16"/>
      <c r="E123" s="150"/>
      <c r="F123" s="101"/>
      <c r="G123" s="52" t="s">
        <v>61</v>
      </c>
      <c r="H123" s="16"/>
      <c r="I123" s="16"/>
      <c r="J123" s="16"/>
      <c r="K123" s="52" t="s">
        <v>61</v>
      </c>
      <c r="L123" s="52" t="s">
        <v>61</v>
      </c>
      <c r="M123" s="52" t="s">
        <v>61</v>
      </c>
      <c r="N123" s="16"/>
      <c r="O123" s="101"/>
      <c r="P123" s="101"/>
      <c r="Q123" s="18"/>
      <c r="R123" s="109"/>
      <c r="S123" s="16"/>
      <c r="T123" s="16"/>
      <c r="U123" s="16"/>
      <c r="V123" s="16"/>
      <c r="W123" s="16"/>
      <c r="X123" s="16"/>
      <c r="Y123" s="16"/>
      <c r="Z123" s="16"/>
      <c r="AA123" s="16"/>
      <c r="AB123" s="102"/>
      <c r="AC123" s="102"/>
      <c r="AD123" s="102"/>
      <c r="AE123" s="102"/>
      <c r="AF123" s="102"/>
      <c r="AG123" s="102"/>
      <c r="AH123" s="103"/>
      <c r="AI123" s="103"/>
      <c r="AJ123" s="103"/>
      <c r="AK123" s="168"/>
      <c r="AL123" s="142"/>
      <c r="AM123" s="15"/>
      <c r="AN123" s="15"/>
    </row>
    <row r="124" spans="2:40" x14ac:dyDescent="0.25">
      <c r="B124" s="20"/>
      <c r="C124" s="16"/>
      <c r="D124" s="16"/>
      <c r="E124" s="150"/>
      <c r="F124" s="101"/>
      <c r="G124" s="52" t="s">
        <v>61</v>
      </c>
      <c r="H124" s="16"/>
      <c r="I124" s="16"/>
      <c r="J124" s="16"/>
      <c r="K124" s="52" t="s">
        <v>61</v>
      </c>
      <c r="L124" s="52" t="s">
        <v>61</v>
      </c>
      <c r="M124" s="52" t="s">
        <v>61</v>
      </c>
      <c r="N124" s="16"/>
      <c r="O124" s="101"/>
      <c r="P124" s="101"/>
      <c r="Q124" s="18"/>
      <c r="R124" s="109"/>
      <c r="S124" s="16"/>
      <c r="T124" s="16"/>
      <c r="U124" s="16"/>
      <c r="V124" s="16"/>
      <c r="W124" s="16"/>
      <c r="X124" s="16"/>
      <c r="Y124" s="16"/>
      <c r="Z124" s="16"/>
      <c r="AA124" s="16"/>
      <c r="AB124" s="102"/>
      <c r="AC124" s="102"/>
      <c r="AD124" s="102"/>
      <c r="AE124" s="102"/>
      <c r="AF124" s="102"/>
      <c r="AG124" s="102"/>
      <c r="AH124" s="103"/>
      <c r="AI124" s="103"/>
      <c r="AJ124" s="103"/>
      <c r="AK124" s="168"/>
      <c r="AL124" s="142"/>
      <c r="AM124" s="15"/>
      <c r="AN124" s="15"/>
    </row>
    <row r="125" spans="2:40" x14ac:dyDescent="0.25">
      <c r="B125" s="20"/>
      <c r="C125" s="16"/>
      <c r="D125" s="16"/>
      <c r="E125" s="150"/>
      <c r="F125" s="101"/>
      <c r="G125" s="52" t="s">
        <v>61</v>
      </c>
      <c r="H125" s="16"/>
      <c r="I125" s="16"/>
      <c r="J125" s="16"/>
      <c r="K125" s="52" t="s">
        <v>61</v>
      </c>
      <c r="L125" s="52" t="s">
        <v>61</v>
      </c>
      <c r="M125" s="52" t="s">
        <v>61</v>
      </c>
      <c r="N125" s="16"/>
      <c r="O125" s="101"/>
      <c r="P125" s="101"/>
      <c r="Q125" s="18"/>
      <c r="R125" s="109"/>
      <c r="S125" s="16"/>
      <c r="T125" s="16"/>
      <c r="U125" s="16"/>
      <c r="V125" s="16"/>
      <c r="W125" s="16"/>
      <c r="X125" s="16"/>
      <c r="Y125" s="16"/>
      <c r="Z125" s="16"/>
      <c r="AA125" s="16"/>
      <c r="AB125" s="102"/>
      <c r="AC125" s="102"/>
      <c r="AD125" s="102"/>
      <c r="AE125" s="102"/>
      <c r="AF125" s="102"/>
      <c r="AG125" s="102"/>
      <c r="AH125" s="103"/>
      <c r="AI125" s="103"/>
      <c r="AJ125" s="103"/>
      <c r="AK125" s="168"/>
      <c r="AL125" s="142"/>
      <c r="AM125" s="15"/>
      <c r="AN125" s="15"/>
    </row>
    <row r="126" spans="2:40" x14ac:dyDescent="0.25">
      <c r="B126" s="20"/>
      <c r="C126" s="16"/>
      <c r="D126" s="16"/>
      <c r="E126" s="150"/>
      <c r="F126" s="101"/>
      <c r="G126" s="52" t="s">
        <v>61</v>
      </c>
      <c r="H126" s="16"/>
      <c r="I126" s="16"/>
      <c r="J126" s="16"/>
      <c r="K126" s="52" t="s">
        <v>61</v>
      </c>
      <c r="L126" s="52" t="s">
        <v>61</v>
      </c>
      <c r="M126" s="52" t="s">
        <v>61</v>
      </c>
      <c r="N126" s="16"/>
      <c r="O126" s="101"/>
      <c r="P126" s="101"/>
      <c r="Q126" s="18"/>
      <c r="R126" s="109"/>
      <c r="S126" s="16"/>
      <c r="T126" s="16"/>
      <c r="U126" s="16"/>
      <c r="V126" s="16"/>
      <c r="W126" s="16"/>
      <c r="X126" s="16"/>
      <c r="Y126" s="16"/>
      <c r="Z126" s="16"/>
      <c r="AA126" s="16"/>
      <c r="AB126" s="102"/>
      <c r="AC126" s="102"/>
      <c r="AD126" s="102"/>
      <c r="AE126" s="102"/>
      <c r="AF126" s="102"/>
      <c r="AG126" s="102"/>
      <c r="AH126" s="103"/>
      <c r="AI126" s="103"/>
      <c r="AJ126" s="103"/>
      <c r="AK126" s="168"/>
      <c r="AL126" s="142"/>
      <c r="AM126" s="15"/>
      <c r="AN126" s="15"/>
    </row>
    <row r="127" spans="2:40" x14ac:dyDescent="0.25">
      <c r="B127" s="20"/>
      <c r="C127" s="16"/>
      <c r="D127" s="16"/>
      <c r="E127" s="150"/>
      <c r="F127" s="101"/>
      <c r="G127" s="52" t="s">
        <v>61</v>
      </c>
      <c r="H127" s="16"/>
      <c r="I127" s="16"/>
      <c r="J127" s="16"/>
      <c r="K127" s="52" t="s">
        <v>61</v>
      </c>
      <c r="L127" s="52" t="s">
        <v>61</v>
      </c>
      <c r="M127" s="52" t="s">
        <v>61</v>
      </c>
      <c r="N127" s="16"/>
      <c r="O127" s="101"/>
      <c r="P127" s="101"/>
      <c r="Q127" s="18"/>
      <c r="R127" s="109"/>
      <c r="S127" s="16"/>
      <c r="T127" s="16"/>
      <c r="U127" s="16"/>
      <c r="V127" s="16"/>
      <c r="W127" s="16"/>
      <c r="X127" s="16"/>
      <c r="Y127" s="16"/>
      <c r="Z127" s="16"/>
      <c r="AA127" s="16"/>
      <c r="AB127" s="102"/>
      <c r="AC127" s="102"/>
      <c r="AD127" s="102"/>
      <c r="AE127" s="102"/>
      <c r="AF127" s="102"/>
      <c r="AG127" s="102"/>
      <c r="AH127" s="103"/>
      <c r="AI127" s="103"/>
      <c r="AJ127" s="103"/>
      <c r="AK127" s="168"/>
      <c r="AL127" s="142"/>
      <c r="AM127" s="15"/>
      <c r="AN127" s="15"/>
    </row>
    <row r="128" spans="2:40" x14ac:dyDescent="0.25">
      <c r="B128" s="20"/>
      <c r="C128" s="16"/>
      <c r="D128" s="16"/>
      <c r="E128" s="150"/>
      <c r="F128" s="101"/>
      <c r="G128" s="52" t="s">
        <v>61</v>
      </c>
      <c r="H128" s="16"/>
      <c r="I128" s="16"/>
      <c r="J128" s="16"/>
      <c r="K128" s="52" t="s">
        <v>61</v>
      </c>
      <c r="L128" s="52" t="s">
        <v>61</v>
      </c>
      <c r="M128" s="52" t="s">
        <v>61</v>
      </c>
      <c r="N128" s="16"/>
      <c r="O128" s="101"/>
      <c r="P128" s="101"/>
      <c r="Q128" s="18"/>
      <c r="R128" s="109"/>
      <c r="S128" s="16"/>
      <c r="T128" s="16"/>
      <c r="U128" s="16"/>
      <c r="V128" s="16"/>
      <c r="W128" s="16"/>
      <c r="X128" s="16"/>
      <c r="Y128" s="16"/>
      <c r="Z128" s="16"/>
      <c r="AA128" s="16"/>
      <c r="AB128" s="102"/>
      <c r="AC128" s="102"/>
      <c r="AD128" s="102"/>
      <c r="AE128" s="102"/>
      <c r="AF128" s="102"/>
      <c r="AG128" s="102"/>
      <c r="AH128" s="103"/>
      <c r="AI128" s="103"/>
      <c r="AJ128" s="103"/>
      <c r="AK128" s="168"/>
      <c r="AL128" s="142"/>
      <c r="AM128" s="15"/>
      <c r="AN128" s="15"/>
    </row>
    <row r="129" spans="2:40" x14ac:dyDescent="0.25">
      <c r="B129" s="20"/>
      <c r="C129" s="16"/>
      <c r="D129" s="16"/>
      <c r="E129" s="150"/>
      <c r="F129" s="101"/>
      <c r="G129" s="52" t="s">
        <v>61</v>
      </c>
      <c r="H129" s="16"/>
      <c r="I129" s="16"/>
      <c r="J129" s="16"/>
      <c r="K129" s="52" t="s">
        <v>61</v>
      </c>
      <c r="L129" s="52" t="s">
        <v>61</v>
      </c>
      <c r="M129" s="52" t="s">
        <v>61</v>
      </c>
      <c r="N129" s="16"/>
      <c r="O129" s="101"/>
      <c r="P129" s="101"/>
      <c r="Q129" s="18"/>
      <c r="R129" s="109"/>
      <c r="S129" s="16"/>
      <c r="T129" s="16"/>
      <c r="U129" s="16"/>
      <c r="V129" s="16"/>
      <c r="W129" s="16"/>
      <c r="X129" s="16"/>
      <c r="Y129" s="16"/>
      <c r="Z129" s="16"/>
      <c r="AA129" s="16"/>
      <c r="AB129" s="102"/>
      <c r="AC129" s="102"/>
      <c r="AD129" s="102"/>
      <c r="AE129" s="102"/>
      <c r="AF129" s="102"/>
      <c r="AG129" s="102"/>
      <c r="AH129" s="103"/>
      <c r="AI129" s="103"/>
      <c r="AJ129" s="103"/>
      <c r="AK129" s="168"/>
      <c r="AL129" s="142"/>
      <c r="AM129" s="15"/>
      <c r="AN129" s="15"/>
    </row>
    <row r="130" spans="2:40" x14ac:dyDescent="0.25">
      <c r="B130" s="20"/>
      <c r="C130" s="16"/>
      <c r="D130" s="16"/>
      <c r="E130" s="150"/>
      <c r="F130" s="101"/>
      <c r="G130" s="52" t="s">
        <v>61</v>
      </c>
      <c r="H130" s="16"/>
      <c r="I130" s="16"/>
      <c r="J130" s="16"/>
      <c r="K130" s="52" t="s">
        <v>61</v>
      </c>
      <c r="L130" s="52" t="s">
        <v>61</v>
      </c>
      <c r="M130" s="52" t="s">
        <v>61</v>
      </c>
      <c r="N130" s="16"/>
      <c r="O130" s="101"/>
      <c r="P130" s="101"/>
      <c r="Q130" s="18"/>
      <c r="R130" s="109"/>
      <c r="S130" s="16"/>
      <c r="T130" s="16"/>
      <c r="U130" s="16"/>
      <c r="V130" s="16"/>
      <c r="W130" s="16"/>
      <c r="X130" s="16"/>
      <c r="Y130" s="16"/>
      <c r="Z130" s="16"/>
      <c r="AA130" s="16"/>
      <c r="AB130" s="102"/>
      <c r="AC130" s="102"/>
      <c r="AD130" s="102"/>
      <c r="AE130" s="102"/>
      <c r="AF130" s="102"/>
      <c r="AG130" s="102"/>
      <c r="AH130" s="103"/>
      <c r="AI130" s="103"/>
      <c r="AJ130" s="103"/>
      <c r="AK130" s="168"/>
      <c r="AL130" s="142"/>
      <c r="AM130" s="15"/>
      <c r="AN130" s="15"/>
    </row>
    <row r="131" spans="2:40" x14ac:dyDescent="0.25">
      <c r="B131" s="20"/>
      <c r="C131" s="16"/>
      <c r="D131" s="16"/>
      <c r="E131" s="150"/>
      <c r="F131" s="101"/>
      <c r="G131" s="52" t="s">
        <v>61</v>
      </c>
      <c r="H131" s="16"/>
      <c r="I131" s="16"/>
      <c r="J131" s="16"/>
      <c r="K131" s="52" t="s">
        <v>61</v>
      </c>
      <c r="L131" s="52" t="s">
        <v>61</v>
      </c>
      <c r="M131" s="52" t="s">
        <v>61</v>
      </c>
      <c r="N131" s="16"/>
      <c r="O131" s="101"/>
      <c r="P131" s="101"/>
      <c r="Q131" s="18"/>
      <c r="R131" s="109"/>
      <c r="S131" s="16"/>
      <c r="T131" s="16"/>
      <c r="U131" s="16"/>
      <c r="V131" s="16"/>
      <c r="W131" s="16"/>
      <c r="X131" s="16"/>
      <c r="Y131" s="16"/>
      <c r="Z131" s="16"/>
      <c r="AA131" s="16"/>
      <c r="AB131" s="102"/>
      <c r="AC131" s="102"/>
      <c r="AD131" s="102"/>
      <c r="AE131" s="102"/>
      <c r="AF131" s="102"/>
      <c r="AG131" s="102"/>
      <c r="AH131" s="103"/>
      <c r="AI131" s="103"/>
      <c r="AJ131" s="103"/>
      <c r="AK131" s="168"/>
      <c r="AL131" s="142"/>
      <c r="AM131" s="15"/>
      <c r="AN131" s="15"/>
    </row>
    <row r="132" spans="2:40" x14ac:dyDescent="0.25">
      <c r="B132" s="20"/>
      <c r="C132" s="16"/>
      <c r="D132" s="16"/>
      <c r="E132" s="150"/>
      <c r="F132" s="101"/>
      <c r="G132" s="52" t="s">
        <v>61</v>
      </c>
      <c r="H132" s="16"/>
      <c r="I132" s="16"/>
      <c r="J132" s="16"/>
      <c r="K132" s="52" t="s">
        <v>61</v>
      </c>
      <c r="L132" s="52" t="s">
        <v>61</v>
      </c>
      <c r="M132" s="52" t="s">
        <v>61</v>
      </c>
      <c r="N132" s="16"/>
      <c r="O132" s="101"/>
      <c r="P132" s="101"/>
      <c r="Q132" s="18"/>
      <c r="R132" s="109"/>
      <c r="S132" s="16"/>
      <c r="T132" s="16"/>
      <c r="U132" s="16"/>
      <c r="V132" s="16"/>
      <c r="W132" s="16"/>
      <c r="X132" s="16"/>
      <c r="Y132" s="16"/>
      <c r="Z132" s="16"/>
      <c r="AA132" s="16"/>
      <c r="AB132" s="102"/>
      <c r="AC132" s="102"/>
      <c r="AD132" s="102"/>
      <c r="AE132" s="102"/>
      <c r="AF132" s="102"/>
      <c r="AG132" s="102"/>
      <c r="AH132" s="103"/>
      <c r="AI132" s="103"/>
      <c r="AJ132" s="103"/>
      <c r="AK132" s="168"/>
      <c r="AL132" s="142"/>
      <c r="AM132" s="15"/>
      <c r="AN132" s="15"/>
    </row>
    <row r="133" spans="2:40" x14ac:dyDescent="0.25">
      <c r="B133" s="20"/>
      <c r="C133" s="16"/>
      <c r="D133" s="16"/>
      <c r="E133" s="150"/>
      <c r="F133" s="101"/>
      <c r="G133" s="52" t="s">
        <v>61</v>
      </c>
      <c r="H133" s="16"/>
      <c r="I133" s="16"/>
      <c r="J133" s="16"/>
      <c r="K133" s="52" t="s">
        <v>61</v>
      </c>
      <c r="L133" s="52" t="s">
        <v>61</v>
      </c>
      <c r="M133" s="52" t="s">
        <v>61</v>
      </c>
      <c r="N133" s="16"/>
      <c r="O133" s="101"/>
      <c r="P133" s="101"/>
      <c r="Q133" s="18"/>
      <c r="R133" s="109"/>
      <c r="S133" s="16"/>
      <c r="T133" s="16"/>
      <c r="U133" s="16"/>
      <c r="V133" s="16"/>
      <c r="W133" s="16"/>
      <c r="X133" s="16"/>
      <c r="Y133" s="16"/>
      <c r="Z133" s="16"/>
      <c r="AA133" s="16"/>
      <c r="AB133" s="102"/>
      <c r="AC133" s="102"/>
      <c r="AD133" s="102"/>
      <c r="AE133" s="102"/>
      <c r="AF133" s="102"/>
      <c r="AG133" s="102"/>
      <c r="AH133" s="103"/>
      <c r="AI133" s="103"/>
      <c r="AJ133" s="103"/>
      <c r="AK133" s="168"/>
      <c r="AL133" s="142"/>
      <c r="AM133" s="15"/>
      <c r="AN133" s="15"/>
    </row>
    <row r="134" spans="2:40" x14ac:dyDescent="0.25">
      <c r="B134" s="20"/>
      <c r="C134" s="16"/>
      <c r="D134" s="16"/>
      <c r="E134" s="150"/>
      <c r="F134" s="101"/>
      <c r="G134" s="52" t="s">
        <v>61</v>
      </c>
      <c r="H134" s="16"/>
      <c r="I134" s="16"/>
      <c r="J134" s="16"/>
      <c r="K134" s="52" t="s">
        <v>61</v>
      </c>
      <c r="L134" s="52" t="s">
        <v>61</v>
      </c>
      <c r="M134" s="52" t="s">
        <v>61</v>
      </c>
      <c r="N134" s="16"/>
      <c r="O134" s="101"/>
      <c r="P134" s="101"/>
      <c r="Q134" s="18"/>
      <c r="R134" s="109"/>
      <c r="S134" s="16"/>
      <c r="T134" s="16"/>
      <c r="U134" s="16"/>
      <c r="V134" s="16"/>
      <c r="W134" s="16"/>
      <c r="X134" s="16"/>
      <c r="Y134" s="16"/>
      <c r="Z134" s="16"/>
      <c r="AA134" s="16"/>
      <c r="AB134" s="102"/>
      <c r="AC134" s="102"/>
      <c r="AD134" s="102"/>
      <c r="AE134" s="102"/>
      <c r="AF134" s="102"/>
      <c r="AG134" s="102"/>
      <c r="AH134" s="103"/>
      <c r="AI134" s="103"/>
      <c r="AJ134" s="103"/>
      <c r="AK134" s="168"/>
      <c r="AL134" s="142"/>
      <c r="AM134" s="15"/>
      <c r="AN134" s="15"/>
    </row>
    <row r="135" spans="2:40" x14ac:dyDescent="0.25">
      <c r="B135" s="20"/>
      <c r="C135" s="16"/>
      <c r="D135" s="16"/>
      <c r="E135" s="150"/>
      <c r="F135" s="101"/>
      <c r="G135" s="52" t="s">
        <v>61</v>
      </c>
      <c r="H135" s="16"/>
      <c r="I135" s="16"/>
      <c r="J135" s="16"/>
      <c r="K135" s="52" t="s">
        <v>61</v>
      </c>
      <c r="L135" s="52" t="s">
        <v>61</v>
      </c>
      <c r="M135" s="52" t="s">
        <v>61</v>
      </c>
      <c r="N135" s="16"/>
      <c r="O135" s="101"/>
      <c r="P135" s="101"/>
      <c r="Q135" s="18"/>
      <c r="R135" s="109"/>
      <c r="S135" s="16"/>
      <c r="T135" s="16"/>
      <c r="U135" s="16"/>
      <c r="V135" s="16"/>
      <c r="W135" s="16"/>
      <c r="X135" s="16"/>
      <c r="Y135" s="16"/>
      <c r="Z135" s="16"/>
      <c r="AA135" s="16"/>
      <c r="AB135" s="102"/>
      <c r="AC135" s="102"/>
      <c r="AD135" s="102"/>
      <c r="AE135" s="102"/>
      <c r="AF135" s="102"/>
      <c r="AG135" s="102"/>
      <c r="AH135" s="103"/>
      <c r="AI135" s="103"/>
      <c r="AJ135" s="103"/>
      <c r="AK135" s="168"/>
      <c r="AL135" s="142"/>
      <c r="AM135" s="15"/>
      <c r="AN135" s="15"/>
    </row>
    <row r="136" spans="2:40" x14ac:dyDescent="0.25">
      <c r="B136" s="20"/>
      <c r="C136" s="16"/>
      <c r="D136" s="16"/>
      <c r="E136" s="150"/>
      <c r="F136" s="101"/>
      <c r="G136" s="52" t="s">
        <v>61</v>
      </c>
      <c r="H136" s="16"/>
      <c r="I136" s="16"/>
      <c r="J136" s="16"/>
      <c r="K136" s="52" t="s">
        <v>61</v>
      </c>
      <c r="L136" s="52" t="s">
        <v>61</v>
      </c>
      <c r="M136" s="52" t="s">
        <v>61</v>
      </c>
      <c r="N136" s="16"/>
      <c r="O136" s="101"/>
      <c r="P136" s="101"/>
      <c r="Q136" s="18"/>
      <c r="R136" s="109"/>
      <c r="S136" s="16"/>
      <c r="T136" s="16"/>
      <c r="U136" s="16"/>
      <c r="V136" s="16"/>
      <c r="W136" s="16"/>
      <c r="X136" s="16"/>
      <c r="Y136" s="16"/>
      <c r="Z136" s="16"/>
      <c r="AA136" s="16"/>
      <c r="AB136" s="102"/>
      <c r="AC136" s="102"/>
      <c r="AD136" s="102"/>
      <c r="AE136" s="102"/>
      <c r="AF136" s="102"/>
      <c r="AG136" s="102"/>
      <c r="AH136" s="103"/>
      <c r="AI136" s="103"/>
      <c r="AJ136" s="103"/>
      <c r="AK136" s="168"/>
      <c r="AL136" s="142"/>
      <c r="AM136" s="15"/>
      <c r="AN136" s="15"/>
    </row>
    <row r="137" spans="2:40" x14ac:dyDescent="0.25">
      <c r="B137" s="20"/>
      <c r="C137" s="16"/>
      <c r="D137" s="16"/>
      <c r="E137" s="150"/>
      <c r="F137" s="101"/>
      <c r="G137" s="52" t="s">
        <v>61</v>
      </c>
      <c r="H137" s="16"/>
      <c r="I137" s="16"/>
      <c r="J137" s="16"/>
      <c r="K137" s="52" t="s">
        <v>61</v>
      </c>
      <c r="L137" s="52" t="s">
        <v>61</v>
      </c>
      <c r="M137" s="52" t="s">
        <v>61</v>
      </c>
      <c r="N137" s="16"/>
      <c r="O137" s="101"/>
      <c r="P137" s="101"/>
      <c r="Q137" s="18"/>
      <c r="R137" s="109"/>
      <c r="S137" s="16"/>
      <c r="T137" s="16"/>
      <c r="U137" s="16"/>
      <c r="V137" s="16"/>
      <c r="W137" s="16"/>
      <c r="X137" s="16"/>
      <c r="Y137" s="16"/>
      <c r="Z137" s="16"/>
      <c r="AA137" s="16"/>
      <c r="AB137" s="102"/>
      <c r="AC137" s="102"/>
      <c r="AD137" s="102"/>
      <c r="AE137" s="102"/>
      <c r="AF137" s="102"/>
      <c r="AG137" s="102"/>
      <c r="AH137" s="103"/>
      <c r="AI137" s="103"/>
      <c r="AJ137" s="103"/>
      <c r="AK137" s="168"/>
      <c r="AL137" s="142"/>
      <c r="AM137" s="15"/>
      <c r="AN137" s="15"/>
    </row>
    <row r="138" spans="2:40" x14ac:dyDescent="0.25">
      <c r="B138" s="20"/>
      <c r="C138" s="16"/>
      <c r="D138" s="16"/>
      <c r="E138" s="150"/>
      <c r="F138" s="101"/>
      <c r="G138" s="52" t="s">
        <v>61</v>
      </c>
      <c r="H138" s="16"/>
      <c r="I138" s="16"/>
      <c r="J138" s="16"/>
      <c r="K138" s="52" t="s">
        <v>61</v>
      </c>
      <c r="L138" s="52" t="s">
        <v>61</v>
      </c>
      <c r="M138" s="52" t="s">
        <v>61</v>
      </c>
      <c r="N138" s="16"/>
      <c r="O138" s="101"/>
      <c r="P138" s="101"/>
      <c r="Q138" s="18"/>
      <c r="R138" s="109"/>
      <c r="S138" s="16"/>
      <c r="T138" s="16"/>
      <c r="U138" s="16"/>
      <c r="V138" s="16"/>
      <c r="W138" s="16"/>
      <c r="X138" s="16"/>
      <c r="Y138" s="16"/>
      <c r="Z138" s="16"/>
      <c r="AA138" s="16"/>
      <c r="AB138" s="102"/>
      <c r="AC138" s="102"/>
      <c r="AD138" s="102"/>
      <c r="AE138" s="102"/>
      <c r="AF138" s="102"/>
      <c r="AG138" s="102"/>
      <c r="AH138" s="103"/>
      <c r="AI138" s="103"/>
      <c r="AJ138" s="103"/>
      <c r="AK138" s="168"/>
      <c r="AL138" s="142"/>
      <c r="AM138" s="15"/>
      <c r="AN138" s="15"/>
    </row>
    <row r="139" spans="2:40" x14ac:dyDescent="0.25">
      <c r="B139" s="20"/>
      <c r="C139" s="16"/>
      <c r="D139" s="16"/>
      <c r="E139" s="150"/>
      <c r="F139" s="101"/>
      <c r="G139" s="52" t="s">
        <v>61</v>
      </c>
      <c r="H139" s="16"/>
      <c r="I139" s="16"/>
      <c r="J139" s="16"/>
      <c r="K139" s="52" t="s">
        <v>61</v>
      </c>
      <c r="L139" s="52" t="s">
        <v>61</v>
      </c>
      <c r="M139" s="52" t="s">
        <v>61</v>
      </c>
      <c r="N139" s="16"/>
      <c r="O139" s="101"/>
      <c r="P139" s="101"/>
      <c r="Q139" s="18"/>
      <c r="R139" s="109"/>
      <c r="S139" s="16"/>
      <c r="T139" s="16"/>
      <c r="U139" s="16"/>
      <c r="V139" s="16"/>
      <c r="W139" s="16"/>
      <c r="X139" s="16"/>
      <c r="Y139" s="16"/>
      <c r="Z139" s="16"/>
      <c r="AA139" s="16"/>
      <c r="AB139" s="102"/>
      <c r="AC139" s="102"/>
      <c r="AD139" s="102"/>
      <c r="AE139" s="102"/>
      <c r="AF139" s="102"/>
      <c r="AG139" s="102"/>
      <c r="AH139" s="103"/>
      <c r="AI139" s="103"/>
      <c r="AJ139" s="103"/>
      <c r="AK139" s="168"/>
      <c r="AL139" s="142"/>
      <c r="AM139" s="15"/>
      <c r="AN139" s="15"/>
    </row>
    <row r="140" spans="2:40" x14ac:dyDescent="0.25">
      <c r="B140" s="20"/>
      <c r="C140" s="16"/>
      <c r="D140" s="16"/>
      <c r="E140" s="150"/>
      <c r="F140" s="101"/>
      <c r="G140" s="52" t="s">
        <v>61</v>
      </c>
      <c r="H140" s="16"/>
      <c r="I140" s="16"/>
      <c r="J140" s="16"/>
      <c r="K140" s="52" t="s">
        <v>61</v>
      </c>
      <c r="L140" s="52" t="s">
        <v>61</v>
      </c>
      <c r="M140" s="52" t="s">
        <v>61</v>
      </c>
      <c r="N140" s="16"/>
      <c r="O140" s="101"/>
      <c r="P140" s="101"/>
      <c r="Q140" s="18"/>
      <c r="R140" s="109"/>
      <c r="S140" s="16"/>
      <c r="T140" s="16"/>
      <c r="U140" s="16"/>
      <c r="V140" s="16"/>
      <c r="W140" s="16"/>
      <c r="X140" s="16"/>
      <c r="Y140" s="16"/>
      <c r="Z140" s="16"/>
      <c r="AA140" s="16"/>
      <c r="AB140" s="102"/>
      <c r="AC140" s="102"/>
      <c r="AD140" s="102"/>
      <c r="AE140" s="102"/>
      <c r="AF140" s="102"/>
      <c r="AG140" s="102"/>
      <c r="AH140" s="103"/>
      <c r="AI140" s="103"/>
      <c r="AJ140" s="103"/>
      <c r="AK140" s="168"/>
      <c r="AL140" s="142"/>
      <c r="AM140" s="15"/>
      <c r="AN140" s="15"/>
    </row>
    <row r="141" spans="2:40" x14ac:dyDescent="0.25">
      <c r="B141" s="20"/>
      <c r="C141" s="16"/>
      <c r="D141" s="16"/>
      <c r="E141" s="150"/>
      <c r="F141" s="101"/>
      <c r="G141" s="52" t="s">
        <v>61</v>
      </c>
      <c r="H141" s="16"/>
      <c r="I141" s="16"/>
      <c r="J141" s="16"/>
      <c r="K141" s="52" t="s">
        <v>61</v>
      </c>
      <c r="L141" s="52" t="s">
        <v>61</v>
      </c>
      <c r="M141" s="52" t="s">
        <v>61</v>
      </c>
      <c r="N141" s="16"/>
      <c r="O141" s="101"/>
      <c r="P141" s="101"/>
      <c r="Q141" s="18"/>
      <c r="R141" s="109"/>
      <c r="S141" s="16"/>
      <c r="T141" s="16"/>
      <c r="U141" s="16"/>
      <c r="V141" s="16"/>
      <c r="W141" s="16"/>
      <c r="X141" s="16"/>
      <c r="Y141" s="16"/>
      <c r="Z141" s="16"/>
      <c r="AA141" s="16"/>
      <c r="AB141" s="102"/>
      <c r="AC141" s="102"/>
      <c r="AD141" s="102"/>
      <c r="AE141" s="102"/>
      <c r="AF141" s="102"/>
      <c r="AG141" s="102"/>
      <c r="AH141" s="103"/>
      <c r="AI141" s="103"/>
      <c r="AJ141" s="103"/>
      <c r="AK141" s="168"/>
      <c r="AL141" s="142"/>
      <c r="AM141" s="15"/>
      <c r="AN141" s="15"/>
    </row>
    <row r="142" spans="2:40" x14ac:dyDescent="0.25">
      <c r="B142" s="20"/>
      <c r="C142" s="16"/>
      <c r="D142" s="16"/>
      <c r="E142" s="150"/>
      <c r="F142" s="101"/>
      <c r="G142" s="52" t="s">
        <v>61</v>
      </c>
      <c r="H142" s="16"/>
      <c r="I142" s="16"/>
      <c r="J142" s="16"/>
      <c r="K142" s="52" t="s">
        <v>61</v>
      </c>
      <c r="L142" s="52" t="s">
        <v>61</v>
      </c>
      <c r="M142" s="52" t="s">
        <v>61</v>
      </c>
      <c r="N142" s="16"/>
      <c r="O142" s="101"/>
      <c r="P142" s="101"/>
      <c r="Q142" s="18"/>
      <c r="R142" s="109"/>
      <c r="S142" s="16"/>
      <c r="T142" s="16"/>
      <c r="U142" s="16"/>
      <c r="V142" s="16"/>
      <c r="W142" s="16"/>
      <c r="X142" s="16"/>
      <c r="Y142" s="16"/>
      <c r="Z142" s="16"/>
      <c r="AA142" s="16"/>
      <c r="AB142" s="102"/>
      <c r="AC142" s="102"/>
      <c r="AD142" s="102"/>
      <c r="AE142" s="102"/>
      <c r="AF142" s="102"/>
      <c r="AG142" s="102"/>
      <c r="AH142" s="103"/>
      <c r="AI142" s="103"/>
      <c r="AJ142" s="103"/>
      <c r="AK142" s="168"/>
      <c r="AL142" s="142"/>
      <c r="AM142" s="15"/>
      <c r="AN142" s="15"/>
    </row>
    <row r="143" spans="2:40" x14ac:dyDescent="0.25">
      <c r="B143" s="20"/>
      <c r="C143" s="16"/>
      <c r="D143" s="16"/>
      <c r="E143" s="150"/>
      <c r="F143" s="101"/>
      <c r="G143" s="52" t="s">
        <v>61</v>
      </c>
      <c r="H143" s="16"/>
      <c r="I143" s="16"/>
      <c r="J143" s="16"/>
      <c r="K143" s="52" t="s">
        <v>61</v>
      </c>
      <c r="L143" s="52" t="s">
        <v>61</v>
      </c>
      <c r="M143" s="52" t="s">
        <v>61</v>
      </c>
      <c r="N143" s="16"/>
      <c r="O143" s="101"/>
      <c r="P143" s="101"/>
      <c r="Q143" s="18"/>
      <c r="R143" s="109"/>
      <c r="S143" s="16"/>
      <c r="T143" s="16"/>
      <c r="U143" s="16"/>
      <c r="V143" s="16"/>
      <c r="W143" s="16"/>
      <c r="X143" s="16"/>
      <c r="Y143" s="16"/>
      <c r="Z143" s="16"/>
      <c r="AA143" s="16"/>
      <c r="AB143" s="102"/>
      <c r="AC143" s="102"/>
      <c r="AD143" s="102"/>
      <c r="AE143" s="102"/>
      <c r="AF143" s="102"/>
      <c r="AG143" s="102"/>
      <c r="AH143" s="103"/>
      <c r="AI143" s="103"/>
      <c r="AJ143" s="103"/>
      <c r="AK143" s="168"/>
      <c r="AL143" s="168"/>
      <c r="AM143" s="16"/>
      <c r="AN143" s="16"/>
    </row>
    <row r="144" spans="2:40" x14ac:dyDescent="0.25">
      <c r="B144" s="20"/>
      <c r="C144" s="16"/>
      <c r="D144" s="16"/>
      <c r="E144" s="150"/>
      <c r="F144" s="101"/>
      <c r="G144" s="52" t="s">
        <v>61</v>
      </c>
      <c r="H144" s="16"/>
      <c r="I144" s="16"/>
      <c r="J144" s="16"/>
      <c r="K144" s="52" t="s">
        <v>61</v>
      </c>
      <c r="L144" s="52" t="s">
        <v>61</v>
      </c>
      <c r="M144" s="52" t="s">
        <v>61</v>
      </c>
      <c r="N144" s="16"/>
      <c r="O144" s="101"/>
      <c r="P144" s="101"/>
      <c r="Q144" s="18"/>
      <c r="R144" s="109"/>
      <c r="S144" s="16"/>
      <c r="T144" s="16"/>
      <c r="U144" s="16"/>
      <c r="V144" s="16"/>
      <c r="W144" s="16"/>
      <c r="X144" s="16"/>
      <c r="Y144" s="16"/>
      <c r="Z144" s="16"/>
      <c r="AA144" s="16"/>
      <c r="AB144" s="102"/>
      <c r="AC144" s="102"/>
      <c r="AD144" s="102"/>
      <c r="AE144" s="102"/>
      <c r="AF144" s="102"/>
      <c r="AG144" s="102"/>
      <c r="AH144" s="103"/>
      <c r="AI144" s="103"/>
      <c r="AJ144" s="103"/>
      <c r="AK144" s="168"/>
      <c r="AL144" s="168"/>
      <c r="AM144" s="16"/>
      <c r="AN144" s="16"/>
    </row>
    <row r="145" spans="2:40" x14ac:dyDescent="0.25">
      <c r="B145" s="20"/>
      <c r="C145" s="16"/>
      <c r="D145" s="16"/>
      <c r="E145" s="150"/>
      <c r="F145" s="101"/>
      <c r="G145" s="52" t="s">
        <v>61</v>
      </c>
      <c r="H145" s="16"/>
      <c r="I145" s="16"/>
      <c r="J145" s="16"/>
      <c r="K145" s="52" t="s">
        <v>61</v>
      </c>
      <c r="L145" s="52" t="s">
        <v>61</v>
      </c>
      <c r="M145" s="52" t="s">
        <v>61</v>
      </c>
      <c r="N145" s="16"/>
      <c r="O145" s="101"/>
      <c r="P145" s="101"/>
      <c r="Q145" s="18"/>
      <c r="R145" s="109"/>
      <c r="S145" s="16"/>
      <c r="T145" s="16"/>
      <c r="U145" s="16"/>
      <c r="V145" s="16"/>
      <c r="W145" s="16"/>
      <c r="X145" s="16"/>
      <c r="Y145" s="16"/>
      <c r="Z145" s="16"/>
      <c r="AA145" s="16"/>
      <c r="AB145" s="102"/>
      <c r="AC145" s="102"/>
      <c r="AD145" s="102"/>
      <c r="AE145" s="102"/>
      <c r="AF145" s="102"/>
      <c r="AG145" s="102"/>
      <c r="AH145" s="103"/>
      <c r="AI145" s="103"/>
      <c r="AJ145" s="103"/>
      <c r="AK145" s="168"/>
      <c r="AL145" s="168"/>
      <c r="AM145" s="16"/>
      <c r="AN145" s="16"/>
    </row>
    <row r="146" spans="2:40" x14ac:dyDescent="0.25">
      <c r="B146" s="20"/>
      <c r="C146" s="16"/>
      <c r="D146" s="16"/>
      <c r="E146" s="150"/>
      <c r="F146" s="101"/>
      <c r="G146" s="52" t="s">
        <v>61</v>
      </c>
      <c r="H146" s="16"/>
      <c r="I146" s="16"/>
      <c r="J146" s="16"/>
      <c r="K146" s="52" t="s">
        <v>61</v>
      </c>
      <c r="L146" s="52" t="s">
        <v>61</v>
      </c>
      <c r="M146" s="52" t="s">
        <v>61</v>
      </c>
      <c r="N146" s="16"/>
      <c r="O146" s="101"/>
      <c r="P146" s="101"/>
      <c r="Q146" s="18"/>
      <c r="R146" s="109"/>
      <c r="S146" s="16"/>
      <c r="T146" s="16"/>
      <c r="U146" s="16"/>
      <c r="V146" s="16"/>
      <c r="W146" s="16"/>
      <c r="X146" s="16"/>
      <c r="Y146" s="16"/>
      <c r="Z146" s="16"/>
      <c r="AA146" s="16"/>
      <c r="AB146" s="102"/>
      <c r="AC146" s="102"/>
      <c r="AD146" s="102"/>
      <c r="AE146" s="102"/>
      <c r="AF146" s="102"/>
      <c r="AG146" s="102"/>
      <c r="AH146" s="103"/>
      <c r="AI146" s="103"/>
      <c r="AJ146" s="103"/>
      <c r="AK146" s="168"/>
      <c r="AL146" s="168"/>
      <c r="AM146" s="16"/>
      <c r="AN146" s="16"/>
    </row>
    <row r="147" spans="2:40" x14ac:dyDescent="0.25">
      <c r="B147" s="20"/>
      <c r="C147" s="16"/>
      <c r="D147" s="16"/>
      <c r="E147" s="150"/>
      <c r="F147" s="101"/>
      <c r="G147" s="52" t="s">
        <v>61</v>
      </c>
      <c r="H147" s="16"/>
      <c r="I147" s="16"/>
      <c r="J147" s="16"/>
      <c r="K147" s="52" t="s">
        <v>61</v>
      </c>
      <c r="L147" s="52" t="s">
        <v>61</v>
      </c>
      <c r="M147" s="52" t="s">
        <v>61</v>
      </c>
      <c r="N147" s="16"/>
      <c r="O147" s="101"/>
      <c r="P147" s="101"/>
      <c r="Q147" s="18"/>
      <c r="R147" s="109"/>
      <c r="S147" s="16"/>
      <c r="T147" s="16"/>
      <c r="U147" s="16"/>
      <c r="V147" s="16"/>
      <c r="W147" s="16"/>
      <c r="X147" s="16"/>
      <c r="Y147" s="16"/>
      <c r="Z147" s="16"/>
      <c r="AA147" s="16"/>
      <c r="AB147" s="102"/>
      <c r="AC147" s="102"/>
      <c r="AD147" s="102"/>
      <c r="AE147" s="102"/>
      <c r="AF147" s="102"/>
      <c r="AG147" s="102"/>
      <c r="AH147" s="103"/>
      <c r="AI147" s="103"/>
      <c r="AJ147" s="103"/>
      <c r="AK147" s="168"/>
      <c r="AL147" s="168"/>
      <c r="AM147" s="16"/>
      <c r="AN147" s="16"/>
    </row>
    <row r="148" spans="2:40" x14ac:dyDescent="0.25">
      <c r="B148" s="20"/>
      <c r="C148" s="16"/>
      <c r="D148" s="16"/>
      <c r="E148" s="150"/>
      <c r="F148" s="101"/>
      <c r="G148" s="52" t="s">
        <v>61</v>
      </c>
      <c r="H148" s="16"/>
      <c r="I148" s="16"/>
      <c r="J148" s="16"/>
      <c r="K148" s="52" t="s">
        <v>61</v>
      </c>
      <c r="L148" s="52" t="s">
        <v>61</v>
      </c>
      <c r="M148" s="52" t="s">
        <v>61</v>
      </c>
      <c r="N148" s="16"/>
      <c r="O148" s="101"/>
      <c r="P148" s="101"/>
      <c r="Q148" s="18"/>
      <c r="R148" s="109"/>
      <c r="S148" s="16"/>
      <c r="T148" s="16"/>
      <c r="U148" s="16"/>
      <c r="V148" s="16"/>
      <c r="W148" s="16"/>
      <c r="X148" s="16"/>
      <c r="Y148" s="16"/>
      <c r="Z148" s="16"/>
      <c r="AA148" s="16"/>
      <c r="AB148" s="102"/>
      <c r="AC148" s="102"/>
      <c r="AD148" s="102"/>
      <c r="AE148" s="102"/>
      <c r="AF148" s="102"/>
      <c r="AG148" s="102"/>
      <c r="AH148" s="103"/>
      <c r="AI148" s="103"/>
      <c r="AJ148" s="103"/>
      <c r="AK148" s="168"/>
      <c r="AL148" s="168"/>
      <c r="AM148" s="16"/>
      <c r="AN148" s="16"/>
    </row>
    <row r="149" spans="2:40" x14ac:dyDescent="0.25">
      <c r="B149" s="20"/>
      <c r="C149" s="16"/>
      <c r="D149" s="16"/>
      <c r="E149" s="150"/>
      <c r="F149" s="101"/>
      <c r="G149" s="52" t="s">
        <v>61</v>
      </c>
      <c r="H149" s="16"/>
      <c r="I149" s="16"/>
      <c r="J149" s="16"/>
      <c r="K149" s="52" t="s">
        <v>61</v>
      </c>
      <c r="L149" s="52" t="s">
        <v>61</v>
      </c>
      <c r="M149" s="52" t="s">
        <v>61</v>
      </c>
      <c r="N149" s="16"/>
      <c r="O149" s="101"/>
      <c r="P149" s="101"/>
      <c r="Q149" s="18"/>
      <c r="R149" s="109"/>
      <c r="S149" s="16"/>
      <c r="T149" s="16"/>
      <c r="U149" s="16"/>
      <c r="V149" s="16"/>
      <c r="W149" s="16"/>
      <c r="X149" s="16"/>
      <c r="Y149" s="16"/>
      <c r="Z149" s="16"/>
      <c r="AA149" s="16"/>
      <c r="AB149" s="102"/>
      <c r="AC149" s="102"/>
      <c r="AD149" s="102"/>
      <c r="AE149" s="102"/>
      <c r="AF149" s="102"/>
      <c r="AG149" s="102"/>
      <c r="AH149" s="103"/>
      <c r="AI149" s="103"/>
      <c r="AJ149" s="103"/>
      <c r="AK149" s="168"/>
      <c r="AL149" s="168"/>
      <c r="AM149" s="16"/>
      <c r="AN149" s="16"/>
    </row>
    <row r="150" spans="2:40" x14ac:dyDescent="0.25">
      <c r="B150" s="20"/>
      <c r="C150" s="16"/>
      <c r="D150" s="16"/>
      <c r="E150" s="150"/>
      <c r="F150" s="101"/>
      <c r="G150" s="52" t="s">
        <v>61</v>
      </c>
      <c r="H150" s="16"/>
      <c r="I150" s="16"/>
      <c r="J150" s="16"/>
      <c r="K150" s="52" t="s">
        <v>61</v>
      </c>
      <c r="L150" s="52" t="s">
        <v>61</v>
      </c>
      <c r="M150" s="52" t="s">
        <v>61</v>
      </c>
      <c r="N150" s="16"/>
      <c r="O150" s="101"/>
      <c r="P150" s="101"/>
      <c r="Q150" s="18"/>
      <c r="R150" s="109"/>
      <c r="S150" s="16"/>
      <c r="T150" s="16"/>
      <c r="U150" s="16"/>
      <c r="V150" s="16"/>
      <c r="W150" s="16"/>
      <c r="X150" s="16"/>
      <c r="Y150" s="16"/>
      <c r="Z150" s="16"/>
      <c r="AA150" s="16"/>
      <c r="AB150" s="102"/>
      <c r="AC150" s="102"/>
      <c r="AD150" s="102"/>
      <c r="AE150" s="102"/>
      <c r="AF150" s="102"/>
      <c r="AG150" s="102"/>
      <c r="AH150" s="103"/>
      <c r="AI150" s="103"/>
      <c r="AJ150" s="103"/>
      <c r="AK150" s="168"/>
      <c r="AL150" s="168"/>
      <c r="AM150" s="16"/>
      <c r="AN150" s="16"/>
    </row>
    <row r="151" spans="2:40" x14ac:dyDescent="0.25">
      <c r="B151" s="20"/>
      <c r="C151" s="16"/>
      <c r="D151" s="16"/>
      <c r="E151" s="150"/>
      <c r="F151" s="101"/>
      <c r="G151" s="52" t="s">
        <v>61</v>
      </c>
      <c r="H151" s="16"/>
      <c r="I151" s="16"/>
      <c r="J151" s="16"/>
      <c r="K151" s="52" t="s">
        <v>61</v>
      </c>
      <c r="L151" s="52" t="s">
        <v>61</v>
      </c>
      <c r="M151" s="52" t="s">
        <v>61</v>
      </c>
      <c r="N151" s="16"/>
      <c r="O151" s="101"/>
      <c r="P151" s="101"/>
      <c r="Q151" s="18"/>
      <c r="R151" s="109"/>
      <c r="S151" s="16"/>
      <c r="T151" s="16"/>
      <c r="U151" s="16"/>
      <c r="V151" s="16"/>
      <c r="W151" s="16"/>
      <c r="X151" s="16"/>
      <c r="Y151" s="16"/>
      <c r="Z151" s="16"/>
      <c r="AA151" s="16"/>
      <c r="AB151" s="102"/>
      <c r="AC151" s="102"/>
      <c r="AD151" s="102"/>
      <c r="AE151" s="102"/>
      <c r="AF151" s="102"/>
      <c r="AG151" s="102"/>
      <c r="AH151" s="103"/>
      <c r="AI151" s="103"/>
      <c r="AJ151" s="103"/>
      <c r="AK151" s="168"/>
      <c r="AL151" s="168"/>
      <c r="AM151" s="16"/>
      <c r="AN151" s="16"/>
    </row>
  </sheetData>
  <customSheetViews>
    <customSheetView guid="{3B3E6719-EACB-4D2C-89C1-05FFAB6020FD}" scale="70" topLeftCell="A16">
      <selection activeCell="A69" sqref="A69:XFD80"/>
      <pageMargins left="0.7" right="0.7" top="0.75" bottom="0.75" header="0.3" footer="0.3"/>
    </customSheetView>
    <customSheetView guid="{D33AC7AF-C8AB-4CE9-94C7-9237011A5FC3}" scale="70" showAutoFilter="1" topLeftCell="J22">
      <selection activeCell="AG70" sqref="AG70"/>
      <pageMargins left="0.7" right="0.7" top="0.75" bottom="0.75" header="0.3" footer="0.3"/>
      <autoFilter ref="B47:AN79"/>
    </customSheetView>
    <customSheetView guid="{336B6883-2145-4B58-921E-CEC7185A847E}" topLeftCell="A40">
      <selection activeCell="F64" sqref="F64"/>
      <pageMargins left="0.7" right="0.7" top="0.75" bottom="0.75" header="0.3" footer="0.3"/>
    </customSheetView>
    <customSheetView guid="{A2C66332-A809-458E-971B-FDB6D62C74C3}" scale="70" showAutoFilter="1" topLeftCell="A2">
      <selection activeCell="M22" sqref="M21:N22"/>
      <pageMargins left="0.7" right="0.7" top="0.75" bottom="0.75" header="0.3" footer="0.3"/>
      <autoFilter ref="B47:AN79"/>
    </customSheetView>
    <customSheetView guid="{60D2C030-4E31-4E07-8E1C-44D2EE84B177}" topLeftCell="A79">
      <selection activeCell="A49" sqref="A49:XFD49"/>
      <pageMargins left="0.7" right="0.7" top="0.75" bottom="0.75" header="0.3" footer="0.3"/>
    </customSheetView>
    <customSheetView guid="{7ECC2B8E-6A82-42F5-8AB0-4A51C54EA5EC}" topLeftCell="A16">
      <selection activeCell="A55" sqref="A55:XFD55"/>
      <pageMargins left="0.7" right="0.7" top="0.75" bottom="0.75" header="0.3" footer="0.3"/>
    </customSheetView>
    <customSheetView guid="{7E0EA425-A420-4443-B9E0-CDF0AA9E5D09}" scale="85" filter="1" showAutoFilter="1">
      <selection activeCell="I24" sqref="I24"/>
      <pageMargins left="0.7" right="0.7" top="0.75" bottom="0.75" header="0.3" footer="0.3"/>
      <pageSetup orientation="portrait" horizontalDpi="300" verticalDpi="0" r:id="rId1"/>
      <autoFilter ref="B47:AN56">
        <filterColumn colId="17">
          <filters>
            <filter val="dac.luu-cong"/>
          </filters>
        </filterColumn>
      </autoFilter>
    </customSheetView>
    <customSheetView guid="{4E06BDBF-2CED-473B-850B-2A6C7311FF41}" scale="70">
      <selection activeCell="A49" sqref="A49:XFD49"/>
      <pageMargins left="0.7" right="0.7" top="0.75" bottom="0.75" header="0.3" footer="0.3"/>
      <pageSetup paperSize="9" orientation="portrait" r:id="rId2"/>
    </customSheetView>
    <customSheetView guid="{C94451EF-7A3E-4D72-B5A4-3D1B193192CC}" scale="70" showAutoFilter="1" topLeftCell="A2">
      <selection activeCell="A56" sqref="A56:XFD56"/>
      <pageMargins left="0.7" right="0.7" top="0.75" bottom="0.75" header="0.3" footer="0.3"/>
      <autoFilter ref="B59:AN68"/>
    </customSheetView>
    <customSheetView guid="{970EE037-F5E5-47AF-896A-0F6222879EBC}" scale="85" topLeftCell="J64">
      <selection activeCell="U62" sqref="U62"/>
      <pageMargins left="0.7" right="0.7" top="0.75" bottom="0.75" header="0.3" footer="0.3"/>
      <pageSetup orientation="portrait" horizontalDpi="300" verticalDpi="0" r:id="rId3"/>
    </customSheetView>
  </customSheetViews>
  <conditionalFormatting sqref="H4:H17 H23:H37 H43:H55">
    <cfRule type="cellIs" dxfId="45" priority="57" operator="equal">
      <formula>1</formula>
    </cfRule>
    <cfRule type="cellIs" dxfId="44" priority="58" operator="lessThan">
      <formula>1</formula>
    </cfRule>
  </conditionalFormatting>
  <conditionalFormatting sqref="AK60 AG60">
    <cfRule type="cellIs" dxfId="43" priority="55" operator="equal">
      <formula>"OK"</formula>
    </cfRule>
    <cfRule type="cellIs" dxfId="42" priority="56" operator="equal">
      <formula>"NG"</formula>
    </cfRule>
  </conditionalFormatting>
  <conditionalFormatting sqref="O60:P60">
    <cfRule type="cellIs" dxfId="41" priority="54" operator="equal">
      <formula>"PUT_VERSION"</formula>
    </cfRule>
  </conditionalFormatting>
  <conditionalFormatting sqref="D18">
    <cfRule type="expression" dxfId="40" priority="53">
      <formula>$D$18=SUM($D$4:$D$17)</formula>
    </cfRule>
  </conditionalFormatting>
  <conditionalFormatting sqref="E18">
    <cfRule type="expression" dxfId="39" priority="52">
      <formula>$E$18=SUM($E$4:$E$17)</formula>
    </cfRule>
  </conditionalFormatting>
  <conditionalFormatting sqref="F18">
    <cfRule type="expression" dxfId="38" priority="51">
      <formula>$F$18=SUM($F$4:$F$17)</formula>
    </cfRule>
  </conditionalFormatting>
  <conditionalFormatting sqref="D37">
    <cfRule type="expression" dxfId="37" priority="50">
      <formula>$D$37=SUM($D$23:$D$36)</formula>
    </cfRule>
  </conditionalFormatting>
  <conditionalFormatting sqref="E37">
    <cfRule type="expression" dxfId="36" priority="49">
      <formula>$E$37=SUM($E$23:$E$36)</formula>
    </cfRule>
  </conditionalFormatting>
  <conditionalFormatting sqref="H42">
    <cfRule type="cellIs" dxfId="35" priority="39" operator="equal">
      <formula>1</formula>
    </cfRule>
    <cfRule type="cellIs" dxfId="34" priority="40" operator="lessThan">
      <formula>1</formula>
    </cfRule>
  </conditionalFormatting>
  <conditionalFormatting sqref="H56">
    <cfRule type="cellIs" dxfId="33" priority="35" operator="equal">
      <formula>1</formula>
    </cfRule>
    <cfRule type="cellIs" dxfId="32" priority="36" operator="lessThan">
      <formula>1</formula>
    </cfRule>
  </conditionalFormatting>
  <conditionalFormatting sqref="F37">
    <cfRule type="expression" dxfId="31" priority="63">
      <formula>$F$37=SUM($F$23:$F$36)</formula>
    </cfRule>
  </conditionalFormatting>
  <conditionalFormatting sqref="AG61:AG151 AK61:AK151">
    <cfRule type="cellIs" dxfId="30" priority="5" operator="equal">
      <formula>"OK"</formula>
    </cfRule>
    <cfRule type="cellIs" dxfId="29" priority="6" operator="equal">
      <formula>"NG"</formula>
    </cfRule>
  </conditionalFormatting>
  <conditionalFormatting sqref="O61:P151">
    <cfRule type="cellIs" dxfId="28" priority="4" operator="equal">
      <formula>"PUT_VERSION"</formula>
    </cfRule>
  </conditionalFormatting>
  <dataValidations count="1">
    <dataValidation type="list" allowBlank="1" showInputMessage="1" showErrorMessage="1" sqref="U60:U151">
      <formula1>"Yes,No"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6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4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4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4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32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</xm:sqref>
        </x14:conditionalFormatting>
        <x14:conditionalFormatting xmlns:xm="http://schemas.microsoft.com/office/excel/2006/main">
          <x14:cfRule type="cellIs" priority="11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12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</xm:sqref>
        </x14:conditionalFormatting>
        <x14:conditionalFormatting xmlns:xm="http://schemas.microsoft.com/office/excel/2006/main">
          <x14:cfRule type="expression" priority="3" id="{10F94F95-92F0-4E9F-A08A-986309F5DB3D}">
            <xm:f>OR(AK61=Table!$C$41,AK61=Table!$C$42)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AK61:AK151</xm:sqref>
        </x14:conditionalFormatting>
        <x14:conditionalFormatting xmlns:xm="http://schemas.microsoft.com/office/excel/2006/main">
          <x14:cfRule type="cellIs" priority="1" operator="equal" id="{E1A6F845-DF0F-4F3F-80AF-0630F39607DF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" operator="equal" id="{8981A8F5-C8AE-45F0-BD17-B26103D2C629}">
            <xm:f>Table!$D$3</xm:f>
            <x14:dxf>
              <fill>
                <patternFill>
                  <bgColor rgb="FF92D050"/>
                </patternFill>
              </fill>
            </x14:dxf>
          </x14:cfRule>
          <xm:sqref>D61:D151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AK60:AK151</xm:sqref>
        </x14:dataValidation>
        <x14:dataValidation type="list" allowBlank="1" showInputMessage="1" showErrorMessage="1">
          <x14:formula1>
            <xm:f>Table!$C$31:$C$37</xm:f>
          </x14:formula1>
          <xm:sqref>AA60:AA151</xm:sqref>
        </x14:dataValidation>
        <x14:dataValidation type="list" allowBlank="1" showInputMessage="1" showErrorMessage="1">
          <x14:formula1>
            <xm:f>Table!$C$8:$C$9</xm:f>
          </x14:formula1>
          <xm:sqref>D60:D151</xm:sqref>
        </x14:dataValidation>
        <x14:dataValidation type="list" allowBlank="1" showInputMessage="1" showErrorMessage="1">
          <x14:formula1>
            <xm:f>Table!$C$47:$C$48</xm:f>
          </x14:formula1>
          <xm:sqref>AG60:AG151</xm:sqref>
        </x14:dataValidation>
        <x14:dataValidation type="list" allowBlank="1" showInputMessage="1" showErrorMessage="1">
          <x14:formula1>
            <xm:f>Table!$C$13:$C$27</xm:f>
          </x14:formula1>
          <xm:sqref>S60:T151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3B3E6719-EACB-4D2C-89C1-05FFAB6020FD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7E0EA425-A420-4443-B9E0-CDF0AA9E5D09}">
      <selection activeCell="J38" sqref="J38"/>
      <pageMargins left="0.7" right="0.7" top="0.75" bottom="0.75" header="0.3" footer="0.3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970EE037-F5E5-47AF-896A-0F6222879EBC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X104"/>
  <sheetViews>
    <sheetView topLeftCell="A151" zoomScale="85" zoomScaleNormal="85" workbookViewId="0">
      <selection activeCell="A178" sqref="A178:XFD178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24" x14ac:dyDescent="0.25">
      <c r="A2" s="105">
        <v>1</v>
      </c>
      <c r="B2" s="105" t="s">
        <v>56</v>
      </c>
      <c r="C2" s="105">
        <v>20200518</v>
      </c>
      <c r="N2" s="42"/>
      <c r="O2" s="42" t="s">
        <v>56</v>
      </c>
      <c r="P2" s="1" t="s">
        <v>287</v>
      </c>
    </row>
    <row r="3" spans="1:24" x14ac:dyDescent="0.25">
      <c r="B3" s="105" t="s">
        <v>119</v>
      </c>
      <c r="C3">
        <f>SUM(G9:G10)</f>
        <v>11.38125</v>
      </c>
      <c r="D3" t="s">
        <v>120</v>
      </c>
      <c r="O3" s="42" t="s">
        <v>119</v>
      </c>
      <c r="P3">
        <f>SUM(T9:T10)</f>
        <v>2.6112499999999996</v>
      </c>
      <c r="Q3" t="s">
        <v>120</v>
      </c>
    </row>
    <row r="4" spans="1:24" x14ac:dyDescent="0.25">
      <c r="B4" s="105" t="s">
        <v>128</v>
      </c>
      <c r="C4">
        <f>SUM(INT((WEEKDAY(F4-{2,3,4,5,6})+H4-F4)/7))</f>
        <v>8</v>
      </c>
      <c r="D4" t="s">
        <v>120</v>
      </c>
      <c r="E4" t="s">
        <v>152</v>
      </c>
      <c r="F4" s="6">
        <v>43969</v>
      </c>
      <c r="G4" s="6" t="s">
        <v>118</v>
      </c>
      <c r="H4" s="6">
        <v>43978</v>
      </c>
      <c r="O4" s="42" t="s">
        <v>128</v>
      </c>
      <c r="P4">
        <f>SUM(INT((WEEKDAY(S4-{2,3,4,5,6})+U4-S4)/7))</f>
        <v>4</v>
      </c>
      <c r="Q4" t="s">
        <v>120</v>
      </c>
      <c r="R4" t="s">
        <v>152</v>
      </c>
      <c r="S4" s="6">
        <v>43935</v>
      </c>
      <c r="T4" s="6" t="s">
        <v>118</v>
      </c>
      <c r="U4" s="6">
        <v>43938</v>
      </c>
    </row>
    <row r="5" spans="1:24" x14ac:dyDescent="0.25">
      <c r="B5" s="105" t="s">
        <v>129</v>
      </c>
      <c r="C5">
        <f>SUM(INT((WEEKDAY(F5-{2,3,4,5,6})+H5-F5)/7))</f>
        <v>8</v>
      </c>
      <c r="D5" t="s">
        <v>120</v>
      </c>
      <c r="E5" t="s">
        <v>152</v>
      </c>
      <c r="F5" s="6">
        <v>43969</v>
      </c>
      <c r="G5" s="6" t="s">
        <v>118</v>
      </c>
      <c r="H5" s="6">
        <v>43978</v>
      </c>
      <c r="O5" s="42" t="s">
        <v>129</v>
      </c>
      <c r="P5">
        <f>SUM(INT((WEEKDAY(S5-{2,3,4,5,6})+U5-S5)/7))</f>
        <v>4</v>
      </c>
      <c r="Q5" t="s">
        <v>120</v>
      </c>
      <c r="R5" t="s">
        <v>127</v>
      </c>
      <c r="S5" s="6">
        <v>43935</v>
      </c>
      <c r="T5" s="6" t="s">
        <v>118</v>
      </c>
      <c r="U5" s="6">
        <v>43938</v>
      </c>
    </row>
    <row r="6" spans="1:24" x14ac:dyDescent="0.25">
      <c r="B6" s="105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  <c r="O6" s="42" t="s">
        <v>17</v>
      </c>
      <c r="S6" s="6"/>
      <c r="T6" s="6"/>
      <c r="U6" s="6"/>
    </row>
    <row r="8" spans="1:24" ht="75" x14ac:dyDescent="0.25">
      <c r="C8" s="106" t="s">
        <v>25</v>
      </c>
      <c r="D8" s="106" t="s">
        <v>26</v>
      </c>
      <c r="E8" s="107" t="s">
        <v>121</v>
      </c>
      <c r="F8" s="107" t="s">
        <v>122</v>
      </c>
      <c r="G8" s="107" t="s">
        <v>123</v>
      </c>
      <c r="H8" s="107" t="s">
        <v>124</v>
      </c>
      <c r="I8" s="107" t="s">
        <v>29</v>
      </c>
      <c r="J8" s="132" t="str">
        <f>Table!$C$41</f>
        <v>OPL</v>
      </c>
      <c r="K8" s="132" t="str">
        <f>Table!$C$42</f>
        <v>Defect</v>
      </c>
      <c r="P8" s="43" t="s">
        <v>25</v>
      </c>
      <c r="Q8" s="43" t="s">
        <v>26</v>
      </c>
      <c r="R8" s="44" t="s">
        <v>121</v>
      </c>
      <c r="S8" s="44" t="s">
        <v>122</v>
      </c>
      <c r="T8" s="44" t="s">
        <v>123</v>
      </c>
      <c r="U8" s="44" t="s">
        <v>124</v>
      </c>
      <c r="V8" s="44" t="s">
        <v>29</v>
      </c>
      <c r="W8" s="132" t="str">
        <f>Table!$C$41</f>
        <v>OPL</v>
      </c>
      <c r="X8" s="132" t="str">
        <f>Table!$C$42</f>
        <v>Defect</v>
      </c>
    </row>
    <row r="9" spans="1:24" x14ac:dyDescent="0.25">
      <c r="C9" s="45">
        <v>1</v>
      </c>
      <c r="D9" s="39" t="str">
        <f>Table!$D$3</f>
        <v>PSW</v>
      </c>
      <c r="E9" s="39">
        <f>SUMIFS(Merged_COEM!$W$60:$W$318,Merged_COEM!$D$60:$D$318,D9, Merged_COEM!$C$60:$C$318,C2)</f>
        <v>5130</v>
      </c>
      <c r="F9" s="39">
        <f>SUMIFS(Merged_COEM!$X$60:$X$318,Merged_COEM!$D$60:$D$318,D9, Merged_COEM!$C$60:$C$318,C2)-SUM(SUMIFS(Merged_COEM!$X$60:$X$318,Merged_COEM!$D$60:$D$318,Table!$D$3,Merged_COEM!$AA$60:$AA$318,{"Ongoing","N/A",""},Merged_COEM!$C$60:$C$318,C2))</f>
        <v>5130</v>
      </c>
      <c r="G9" s="39">
        <f>1/8*(SUMIFS(Merged_COEM!$Y$60:$Y$318,Merged_COEM!$D$60:$D$318,D9, Merged_COEM!$C$60:$C$318,C2))</f>
        <v>11.38125</v>
      </c>
      <c r="H9" s="39">
        <f>1/8*(SUMIFS(Merged_COEM!$Z$60:$Z$318,Merged_COEM!$D$60:$D$318,D9, Merged_COEM!$C$60:$C$318,C2)-SUM(SUMIFS(Merged_COEM!$Z$60:$Z$318,Merged_COEM!$D$60:$D$318,D9,Merged_COEM!$AA$60:$AA$318,{"Ongoing","N/A",""},Merged_COEM!$C$60:$C$318,C2)))</f>
        <v>6.5624999999999991</v>
      </c>
      <c r="I9" s="40">
        <f>IFERROR(F9/E9,"N/A")</f>
        <v>1</v>
      </c>
      <c r="J9" s="3">
        <f>COUNTIFS(Merged_COEM!$AK$60:$AK$318,J8,Merged_COEM!$D$60:$D$318,D9,Merged_COEM!$C$60:$C$318,C2)</f>
        <v>3</v>
      </c>
      <c r="K9" s="3">
        <f>COUNTIFS(Merged_COEM!$AK$60:$AK$318,K8,Merged_COEM!$D$60:$D$318,D9,Merged_COEM!$C$60:$C$318,C2)</f>
        <v>0</v>
      </c>
      <c r="P9" s="45">
        <v>1</v>
      </c>
      <c r="Q9" s="39" t="str">
        <f>Table!$D$3</f>
        <v>PSW</v>
      </c>
      <c r="R9" s="39">
        <f>SUMIFS(Merged_COEM!$W$60:$W$318,Merged_COEM!$D$60:$D$318,Q9, Merged_COEM!$E$60:$E$318,P2)</f>
        <v>1177</v>
      </c>
      <c r="S9" s="39">
        <f>SUMIFS(Merged_COEM!$X$60:$X$318,Merged_COEM!$D$60:$D$318,Q9, Merged_COEM!$E$60:$E$318,P2)-SUM(SUMIFS(Merged_COEM!$X$60:$X$318,Merged_COEM!$D$60:$D$318,Table!$D$3,Merged_COEM!$AA$60:$AA$318,{"Ongoing","N/A",""},Merged_COEM!$E$60:$E$318,P2))</f>
        <v>1177</v>
      </c>
      <c r="T9" s="39">
        <f>1/8*(SUMIFS(Merged_COEM!$Y$60:$Y$318,Merged_COEM!$D$60:$D$318,Q9, Merged_COEM!$E$60:$E$318,P2))</f>
        <v>2.6112499999999996</v>
      </c>
      <c r="U9" s="59">
        <f>1/8*(SUMIFS(Merged_COEM!$Z$60:$Z$318,Merged_COEM!$D$60:$D$318,Q9, Merged_COEM!$E$60:$E$318,P2)-SUM(SUMIFS(Merged_COEM!$Z$60:$Z$318,Merged_COEM!$D$60:$D$318,Q9,Merged_COEM!$AA$60:$AA$318,{"Ongoing","N/A",""},Merged_COEM!$E$60:$E$318,P2)))</f>
        <v>1.8374999999999999</v>
      </c>
      <c r="V9" s="40">
        <f>IFERROR(S9/R9,"N/A")</f>
        <v>1</v>
      </c>
      <c r="W9" s="3">
        <f>COUNTIFS(Merged_COEM!$AK$60:$AK$318,W8,Merged_COEM!$D$60:$D$318,Q9,Merged_COEM!$E$60:$E$318,P2)</f>
        <v>5</v>
      </c>
      <c r="X9" s="3">
        <f>COUNTIFS(Merged_COEM!$AK$60:$AK$318,X8,Merged_COEM!$D$60:$D$318,Q9,Merged_COEM!$E$60:$E$318,P2)</f>
        <v>0</v>
      </c>
    </row>
    <row r="10" spans="1:24" x14ac:dyDescent="0.25">
      <c r="C10" s="45">
        <v>2</v>
      </c>
      <c r="D10" s="39" t="str">
        <f>Table!$C$3</f>
        <v>ASW</v>
      </c>
      <c r="E10" s="39">
        <f>SUMIFS(Merged_COEM!$W$60:$W$318,Merged_COEM!$D$60:$D$318,D10, Merged_COEM!$C$60:$C$318,C2)</f>
        <v>0</v>
      </c>
      <c r="F10" s="39">
        <f>SUMIFS(Merged_COEM!$X$60:$X$318,Merged_COEM!$D$60:$D$318,D10, Merged_COEM!$C$60:$C$318,C2)-SUM(SUMIFS(Merged_COEM!$X$60:$X$318,Merged_COEM!$D$60:$D$318,D10,Merged_COEM!$AA$60:$AA$318,{"Ongoing","N/A",""},Merged_COEM!$C$60:$C$318,C2))</f>
        <v>0</v>
      </c>
      <c r="G10" s="39">
        <f>1/8*(SUMIFS(Merged_COEM!$Y$60:$Y$318,Merged_COEM!$D$60:$D$318,D10, Merged_COEM!$C$60:$C$318,C2))</f>
        <v>0</v>
      </c>
      <c r="H10" s="39">
        <f>1/8*(SUMIFS(Merged_COEM!$Z$60:$Z$318,Merged_COEM!$D$60:$D$318,D10, Merged_COEM!$C$60:$C$318,C2)-SUM(SUMIFS(Merged_COEM!$Z$60:$Z$318,Merged_COEM!$D$60:$D$318,D10,Merged_COEM!$AA$60:$AA$318,{"Ongoing","N/A",""},Merged_COEM!$C$60:$C$318,C2)))</f>
        <v>0</v>
      </c>
      <c r="I10" s="40" t="str">
        <f>IFERROR(F10/E10,"N/A")</f>
        <v>N/A</v>
      </c>
      <c r="J10" s="3">
        <f>COUNTIFS(Merged_COEM!$AK$60:$AK$318,J8,Merged_COEM!$D$60:$D$318,D10,Merged_COEM!$C$60:$C$318,C2)</f>
        <v>0</v>
      </c>
      <c r="K10" s="3">
        <f>COUNTIFS(Merged_COEM!$AK$60:$AK$318,K8,Merged_COEM!$D$60:$D$318,D10,Merged_COEM!$C$60:$C$318,C2)</f>
        <v>0</v>
      </c>
      <c r="P10" s="45">
        <v>2</v>
      </c>
      <c r="Q10" s="39" t="str">
        <f>Table!$C$3</f>
        <v>ASW</v>
      </c>
      <c r="R10" s="39">
        <f>SUMIFS(Merged_COEM!$W$60:$W$318,Merged_COEM!$D$60:$D$318,Q10, Merged_COEM!$E$60:$E$318,P2)</f>
        <v>0</v>
      </c>
      <c r="S10" s="39">
        <f>SUMIFS(Merged_COEM!$X$60:$X$318,Merged_COEM!$D$60:$D$318,Q10, Merged_COEM!$E$60:$E$318,P2)-SUM(SUMIFS(Merged_COEM!$X$60:$X$318,Merged_COEM!$D$60:$D$318,Table!$D$3,Merged_COEM!$AA$60:$AA$318,{"Ongoing","N/A",""},Merged_COEM!$E$60:$E$318,P2))</f>
        <v>0</v>
      </c>
      <c r="T10" s="39">
        <f>1/8*(SUMIFS(Merged_COEM!$Y$60:$Y$318,Merged_COEM!$D$60:$D$318,Q10, Merged_COEM!$E$60:$E$318,P2))</f>
        <v>0</v>
      </c>
      <c r="U10" s="59">
        <f>1/8*(SUMIFS(Merged_COEM!$Z$60:$Z$318,Merged_COEM!$D$60:$D$318,Q10, Merged_COEM!$E$60:$E$318,P2)-SUM(SUMIFS(Merged_COEM!$Z$60:$Z$318,Merged_COEM!$D$60:$D$318,Q10,Merged_COEM!$AA$60:$AA$318,{"Ongoing","N/A",""},Merged_COEM!$E$60:$E$318,P2)))</f>
        <v>0</v>
      </c>
      <c r="V10" s="40" t="str">
        <f>IFERROR(S10/R10,"N/A")</f>
        <v>N/A</v>
      </c>
      <c r="W10" s="3">
        <f>COUNTIFS(Merged_COEM!$AK$60:$AK$318,W8,Merged_COEM!$D$60:$D$318,Q10,Merged_COEM!$E$60:$E$318,P2)</f>
        <v>0</v>
      </c>
      <c r="X10" s="3">
        <f>COUNTIFS(Merged_COEM!$AK$60:$AK$318,X8,Merged_COEM!$D$60:$D$318,Q10,Merged_COEM!$E$60:$E$318,P2)</f>
        <v>0</v>
      </c>
    </row>
    <row r="12" spans="1:24" x14ac:dyDescent="0.25">
      <c r="C12" t="s">
        <v>126</v>
      </c>
      <c r="P12" t="s">
        <v>126</v>
      </c>
    </row>
    <row r="13" spans="1:24" x14ac:dyDescent="0.25">
      <c r="D13" s="108" t="s">
        <v>130</v>
      </c>
    </row>
    <row r="15" spans="1:24" x14ac:dyDescent="0.25">
      <c r="A15" s="105">
        <v>2</v>
      </c>
      <c r="B15" s="105" t="s">
        <v>56</v>
      </c>
      <c r="C15" s="105">
        <v>20200519</v>
      </c>
    </row>
    <row r="16" spans="1:24" x14ac:dyDescent="0.25">
      <c r="B16" s="105" t="s">
        <v>119</v>
      </c>
      <c r="C16">
        <f>SUM(G22:G23)</f>
        <v>6.7625000000000002</v>
      </c>
      <c r="D16" t="s">
        <v>120</v>
      </c>
    </row>
    <row r="17" spans="1:11" x14ac:dyDescent="0.25">
      <c r="B17" s="105" t="s">
        <v>128</v>
      </c>
      <c r="C17">
        <f>SUM(INT((WEEKDAY(F17-{2,3,4,5,6})+H17-F17)/7))</f>
        <v>6</v>
      </c>
      <c r="D17" t="s">
        <v>120</v>
      </c>
      <c r="E17" t="s">
        <v>152</v>
      </c>
      <c r="F17" s="6">
        <v>43970</v>
      </c>
      <c r="G17" s="6" t="s">
        <v>118</v>
      </c>
      <c r="H17" s="6">
        <v>43977</v>
      </c>
    </row>
    <row r="18" spans="1:11" x14ac:dyDescent="0.25">
      <c r="B18" s="105" t="s">
        <v>129</v>
      </c>
      <c r="C18">
        <f>SUM(INT((WEEKDAY(F18-{2,3,4,5,6})+H18-F18)/7))</f>
        <v>6</v>
      </c>
      <c r="D18" t="s">
        <v>120</v>
      </c>
      <c r="E18" t="s">
        <v>152</v>
      </c>
      <c r="F18" s="6">
        <v>43970</v>
      </c>
      <c r="G18" s="6" t="s">
        <v>118</v>
      </c>
      <c r="H18" s="6">
        <v>43977</v>
      </c>
    </row>
    <row r="19" spans="1:11" x14ac:dyDescent="0.25">
      <c r="B19" s="105" t="s">
        <v>17</v>
      </c>
      <c r="C19" t="str">
        <f>IF(SUM(H22:H23)&gt;SUM(G22:G23),"Delayed",IF(SUM(H22:H23)&lt;SUM(G22:G23),"InAdvanced","Ontime"))</f>
        <v>InAdvanced</v>
      </c>
      <c r="F19" s="6"/>
      <c r="G19" s="6"/>
      <c r="H19" s="6"/>
    </row>
    <row r="21" spans="1:11" ht="45" x14ac:dyDescent="0.25">
      <c r="C21" s="106" t="s">
        <v>25</v>
      </c>
      <c r="D21" s="106" t="s">
        <v>26</v>
      </c>
      <c r="E21" s="107" t="s">
        <v>121</v>
      </c>
      <c r="F21" s="107" t="s">
        <v>122</v>
      </c>
      <c r="G21" s="107" t="s">
        <v>123</v>
      </c>
      <c r="H21" s="107" t="s">
        <v>124</v>
      </c>
      <c r="I21" s="107" t="s">
        <v>29</v>
      </c>
      <c r="J21" s="132" t="str">
        <f>Table!$C$41</f>
        <v>OPL</v>
      </c>
      <c r="K21" s="132" t="str">
        <f>Table!$C$42</f>
        <v>Defect</v>
      </c>
    </row>
    <row r="22" spans="1:11" x14ac:dyDescent="0.25">
      <c r="C22" s="45">
        <v>1</v>
      </c>
      <c r="D22" s="39" t="str">
        <f>Table!$D$3</f>
        <v>PSW</v>
      </c>
      <c r="E22" s="39">
        <f>SUMIFS(Merged_COEM!$W$60:$W$318,Merged_COEM!$D$60:$D$318,D22, Merged_COEM!$C$60:$C$318,C15)</f>
        <v>2852</v>
      </c>
      <c r="F22" s="39">
        <f>SUMIFS(Merged_COEM!$X$60:$X$318,Merged_COEM!$D$60:$D$318,D22, Merged_COEM!$C$60:$C$318,C15)-SUM(SUMIFS(Merged_COEM!$X$60:$X$318,Merged_COEM!$D$60:$D$318,Table!$D$3,Merged_COEM!$AA$60:$AA$318,{"Ongoing","N/A",""},Merged_COEM!$C$60:$C$318,C15))</f>
        <v>2852</v>
      </c>
      <c r="G22" s="39">
        <f>1/8*(SUMIFS(Merged_COEM!$Y$60:$Y$318,Merged_COEM!$D$60:$D$318,D22, Merged_COEM!$C$60:$C$318,C15))</f>
        <v>6.3262499999999999</v>
      </c>
      <c r="H22" s="39">
        <f>1/8*(SUMIFS(Merged_COEM!$Z$60:$Z$318,Merged_COEM!$D$60:$D$318,D22, Merged_COEM!$C$60:$C$318,C15)-SUM(SUMIFS(Merged_COEM!$Z$60:$Z$318,Merged_COEM!$D$60:$D$318,D22,Merged_COEM!$AA$60:$AA$318,{"Ongoing","N/A",""},Merged_COEM!$C$60:$C$318,C15)))</f>
        <v>4.8049999999999997</v>
      </c>
      <c r="I22" s="40">
        <f>IFERROR(F22/E22,"N/A")</f>
        <v>1</v>
      </c>
      <c r="J22" s="3">
        <f>COUNTIFS(Merged_COEM!$AK$60:$AK$318,J21,Merged_COEM!$D$60:$D$318,D22,Merged_COEM!$C$60:$C$318,C15)</f>
        <v>5</v>
      </c>
      <c r="K22" s="3">
        <f>COUNTIFS(Merged_COEM!$AK$60:$AK$318,K21,Merged_COEM!$D$60:$D$318,D22,Merged_COEM!$C$60:$C$318,C15)</f>
        <v>0</v>
      </c>
    </row>
    <row r="23" spans="1:11" x14ac:dyDescent="0.25">
      <c r="C23" s="45">
        <v>2</v>
      </c>
      <c r="D23" s="39" t="str">
        <f>Table!$C$3</f>
        <v>ASW</v>
      </c>
      <c r="E23" s="39">
        <f>SUMIFS(Merged_COEM!$W$60:$W$318,Merged_COEM!$D$60:$D$318,D23, Merged_COEM!$C$60:$C$318,C15)</f>
        <v>57</v>
      </c>
      <c r="F23" s="39">
        <f>SUMIFS(Merged_COEM!$X$60:$X$318,Merged_COEM!$D$60:$D$318,D23, Merged_COEM!$C$60:$C$318,C15)-SUM(SUMIFS(Merged_COEM!$X$60:$X$318,Merged_COEM!$D$60:$D$318,D23,Merged_COEM!$AA$60:$AA$318,{"Ongoing","N/A",""},Merged_COEM!$C$60:$C$318,C15))</f>
        <v>57</v>
      </c>
      <c r="G23" s="39">
        <f>1/8*(SUMIFS(Merged_COEM!$Y$60:$Y$318,Merged_COEM!$D$60:$D$318,D23, Merged_COEM!$C$60:$C$318,C15))</f>
        <v>0.43624999999999997</v>
      </c>
      <c r="H23" s="39">
        <f>1/8*(SUMIFS(Merged_COEM!$Z$60:$Z$318,Merged_COEM!$D$60:$D$318,D23, Merged_COEM!$C$60:$C$318,C15)-SUM(SUMIFS(Merged_COEM!$Z$60:$Z$318,Merged_COEM!$D$60:$D$318,D23,Merged_COEM!$AA$60:$AA$318,{"Ongoing","N/A",""},Merged_COEM!$C$60:$C$318,C15)))</f>
        <v>0.375</v>
      </c>
      <c r="I23" s="40">
        <f>IFERROR(F23/E23,"N/A")</f>
        <v>1</v>
      </c>
      <c r="J23" s="3">
        <f>COUNTIFS(Merged_COEM!$AK$60:$AK$318,J21,Merged_COEM!$D$60:$D$318,D23,Merged_COEM!$C$60:$C$318,C15)</f>
        <v>1</v>
      </c>
      <c r="K23" s="3">
        <f>COUNTIFS(Merged_COEM!$AK$60:$AK$318,K21,Merged_COEM!$D$60:$D$318,D23,Merged_COEM!$C$60:$C$318,C15)</f>
        <v>0</v>
      </c>
    </row>
    <row r="25" spans="1:11" x14ac:dyDescent="0.25">
      <c r="C25" t="s">
        <v>126</v>
      </c>
    </row>
    <row r="26" spans="1:11" x14ac:dyDescent="0.25">
      <c r="D26" s="108" t="s">
        <v>130</v>
      </c>
    </row>
    <row r="28" spans="1:11" x14ac:dyDescent="0.25">
      <c r="A28" s="124">
        <v>3</v>
      </c>
      <c r="B28" s="124" t="s">
        <v>56</v>
      </c>
      <c r="C28" s="124">
        <v>20200520</v>
      </c>
    </row>
    <row r="29" spans="1:11" x14ac:dyDescent="0.25">
      <c r="B29" s="124" t="s">
        <v>119</v>
      </c>
      <c r="C29">
        <f>SUM(G35:G36)</f>
        <v>24.977499999999999</v>
      </c>
      <c r="D29" t="s">
        <v>120</v>
      </c>
    </row>
    <row r="30" spans="1:11" x14ac:dyDescent="0.25">
      <c r="B30" s="124" t="s">
        <v>128</v>
      </c>
      <c r="C30">
        <f>SUM(INT((WEEKDAY(F30-{2,3,4,5,6})+H30-F30)/7))</f>
        <v>11</v>
      </c>
      <c r="D30" t="s">
        <v>120</v>
      </c>
      <c r="E30" t="s">
        <v>152</v>
      </c>
      <c r="F30" s="6">
        <v>43971</v>
      </c>
      <c r="G30" s="6" t="s">
        <v>118</v>
      </c>
      <c r="H30" s="6">
        <v>43985</v>
      </c>
    </row>
    <row r="31" spans="1:11" x14ac:dyDescent="0.25">
      <c r="B31" s="124" t="s">
        <v>129</v>
      </c>
      <c r="C31">
        <f>SUM(INT((WEEKDAY(F31-{2,3,4,5,6})+H31-F31)/7))</f>
        <v>11</v>
      </c>
      <c r="D31" t="s">
        <v>120</v>
      </c>
      <c r="E31" t="s">
        <v>152</v>
      </c>
      <c r="F31" s="6">
        <v>43971</v>
      </c>
      <c r="G31" s="6" t="s">
        <v>118</v>
      </c>
      <c r="H31" s="6">
        <v>43985</v>
      </c>
    </row>
    <row r="32" spans="1:11" x14ac:dyDescent="0.25">
      <c r="B32" s="124" t="s">
        <v>17</v>
      </c>
      <c r="C32" t="str">
        <f>IF(SUM(H35:H36)&gt;SUM(G35:G36),"Delayed",IF(SUM(H35:H36)&lt;SUM(G35:G36),"InAdvanced","Ontime"))</f>
        <v>InAdvanced</v>
      </c>
      <c r="F32" s="6"/>
      <c r="G32" s="6"/>
      <c r="H32" s="6"/>
    </row>
    <row r="34" spans="1:11" ht="45" x14ac:dyDescent="0.25">
      <c r="C34" s="125" t="s">
        <v>25</v>
      </c>
      <c r="D34" s="125" t="s">
        <v>26</v>
      </c>
      <c r="E34" s="126" t="s">
        <v>121</v>
      </c>
      <c r="F34" s="126" t="s">
        <v>122</v>
      </c>
      <c r="G34" s="126" t="s">
        <v>123</v>
      </c>
      <c r="H34" s="126" t="s">
        <v>124</v>
      </c>
      <c r="I34" s="126" t="s">
        <v>29</v>
      </c>
      <c r="J34" s="132" t="str">
        <f>Table!$C$41</f>
        <v>OPL</v>
      </c>
      <c r="K34" s="132" t="str">
        <f>Table!$C$42</f>
        <v>Defect</v>
      </c>
    </row>
    <row r="35" spans="1:11" x14ac:dyDescent="0.25">
      <c r="C35" s="45">
        <v>1</v>
      </c>
      <c r="D35" s="39" t="str">
        <f>Table!$D$3</f>
        <v>PSW</v>
      </c>
      <c r="E35" s="39">
        <f>SUMIFS(Merged_COEM!$W$60:$W$318,Merged_COEM!$D$60:$D$318,D35, Merged_COEM!$C$60:$C$318,C28)</f>
        <v>11246</v>
      </c>
      <c r="F35" s="39">
        <f>SUMIFS(Merged_COEM!$X$60:$X$318,Merged_COEM!$D$60:$D$318,D35, Merged_COEM!$C$60:$C$318,C28)-SUM(SUMIFS(Merged_COEM!$X$60:$X$318,Merged_COEM!$D$60:$D$318,Table!$D$3,Merged_COEM!$AA$60:$AA$318,{"Ongoing","N/A",""},Merged_COEM!$C$60:$C$318,C28))</f>
        <v>11246</v>
      </c>
      <c r="G35" s="39">
        <f>1/8*(SUMIFS(Merged_COEM!$Y$60:$Y$318,Merged_COEM!$D$60:$D$318,D35, Merged_COEM!$C$60:$C$318,C28))</f>
        <v>24.977499999999999</v>
      </c>
      <c r="H35" s="39">
        <f>1/8*(SUMIFS(Merged_COEM!$Z$60:$Z$318,Merged_COEM!$D$60:$D$318,D35, Merged_COEM!$C$60:$C$318,C28)-SUM(SUMIFS(Merged_COEM!$Z$60:$Z$318,Merged_COEM!$D$60:$D$318,D35,Merged_COEM!$AA$60:$AA$318,{"Ongoing","N/A",""},Merged_COEM!$C$60:$C$318,C28)))</f>
        <v>14.552499999999998</v>
      </c>
      <c r="I35" s="40">
        <f>IFERROR(F35/E35,"N/A")</f>
        <v>1</v>
      </c>
      <c r="J35" s="3">
        <f>COUNTIFS(Merged_COEM!$AK$60:$AK$318,J34,Merged_COEM!$D$60:$D$318,D35,Merged_COEM!$C$60:$C$318,C28)</f>
        <v>0</v>
      </c>
      <c r="K35" s="3">
        <f>COUNTIFS(Merged_COEM!$AK$60:$AK$318,K34,Merged_COEM!$D$60:$D$318,D35,Merged_COEM!$C$60:$C$318,C28)</f>
        <v>0</v>
      </c>
    </row>
    <row r="36" spans="1:11" x14ac:dyDescent="0.25">
      <c r="C36" s="45">
        <v>2</v>
      </c>
      <c r="D36" s="39" t="str">
        <f>Table!$C$3</f>
        <v>ASW</v>
      </c>
      <c r="E36" s="39">
        <f>SUMIFS(Merged_COEM!$W$60:$W$318,Merged_COEM!$D$60:$D$318,D36, Merged_COEM!$C$60:$C$318,C28)</f>
        <v>0</v>
      </c>
      <c r="F36" s="39">
        <f>SUMIFS(Merged_COEM!$X$60:$X$318,Merged_COEM!$D$60:$D$318,D36, Merged_COEM!$C$60:$C$318,C28)-SUM(SUMIFS(Merged_COEM!$X$60:$X$318,Merged_COEM!$D$60:$D$318,D36,Merged_COEM!$AA$60:$AA$318,{"Ongoing","N/A",""},Merged_COEM!$C$60:$C$318,C28))</f>
        <v>0</v>
      </c>
      <c r="G36" s="39">
        <f>1/8*(SUMIFS(Merged_COEM!$Y$60:$Y$318,Merged_COEM!$D$60:$D$318,D36, Merged_COEM!$C$60:$C$318,C28))</f>
        <v>0</v>
      </c>
      <c r="H36" s="39">
        <f>1/8*(SUMIFS(Merged_COEM!$Z$60:$Z$318,Merged_COEM!$D$60:$D$318,D36, Merged_COEM!$C$60:$C$318,C28)-SUM(SUMIFS(Merged_COEM!$Z$60:$Z$318,Merged_COEM!$D$60:$D$318,D36,Merged_COEM!$AA$60:$AA$318,{"Ongoing","N/A",""},Merged_COEM!$C$60:$C$318,C28)))</f>
        <v>0</v>
      </c>
      <c r="I36" s="40" t="str">
        <f>IFERROR(F36/E36,"N/A")</f>
        <v>N/A</v>
      </c>
      <c r="J36" s="3">
        <f>COUNTIFS(Merged_COEM!$AK$60:$AK$318,J34,Merged_COEM!$D$60:$D$318,D36,Merged_COEM!$C$60:$C$318,C28)</f>
        <v>0</v>
      </c>
      <c r="K36" s="3">
        <f>COUNTIFS(Merged_COEM!$AK$60:$AK$318,K34,Merged_COEM!$D$60:$D$318,D36,Merged_COEM!$C$60:$C$318,C28)</f>
        <v>0</v>
      </c>
    </row>
    <row r="38" spans="1:11" x14ac:dyDescent="0.25">
      <c r="C38" t="s">
        <v>126</v>
      </c>
    </row>
    <row r="39" spans="1:11" x14ac:dyDescent="0.25">
      <c r="D39" s="127" t="s">
        <v>130</v>
      </c>
    </row>
    <row r="41" spans="1:11" x14ac:dyDescent="0.25">
      <c r="A41" s="124">
        <v>4</v>
      </c>
      <c r="B41" s="124" t="s">
        <v>56</v>
      </c>
      <c r="C41" s="124">
        <v>20200521</v>
      </c>
    </row>
    <row r="42" spans="1:11" x14ac:dyDescent="0.25">
      <c r="B42" s="124" t="s">
        <v>119</v>
      </c>
      <c r="C42">
        <f>SUM(G48:G49)</f>
        <v>2.3174999999999999</v>
      </c>
      <c r="D42" t="s">
        <v>120</v>
      </c>
    </row>
    <row r="43" spans="1:11" x14ac:dyDescent="0.25">
      <c r="B43" s="124" t="s">
        <v>128</v>
      </c>
      <c r="C43">
        <f>SUM(INT((WEEKDAY(F43-{2,3,4,5,6})+H43-F43)/7))</f>
        <v>2</v>
      </c>
      <c r="D43" t="s">
        <v>120</v>
      </c>
      <c r="E43" t="s">
        <v>152</v>
      </c>
      <c r="F43" s="6">
        <v>43972</v>
      </c>
      <c r="G43" s="6" t="s">
        <v>118</v>
      </c>
      <c r="H43" s="6">
        <v>43973</v>
      </c>
    </row>
    <row r="44" spans="1:11" x14ac:dyDescent="0.25">
      <c r="B44" s="124" t="s">
        <v>129</v>
      </c>
      <c r="C44">
        <f>SUM(INT((WEEKDAY(F44-{2,3,4,5,6})+H44-F44)/7))</f>
        <v>2</v>
      </c>
      <c r="D44" t="s">
        <v>120</v>
      </c>
      <c r="E44" t="s">
        <v>152</v>
      </c>
      <c r="F44" s="6">
        <v>43972</v>
      </c>
      <c r="G44" s="6" t="s">
        <v>118</v>
      </c>
      <c r="H44" s="6">
        <v>43973</v>
      </c>
    </row>
    <row r="45" spans="1:11" x14ac:dyDescent="0.25">
      <c r="B45" s="124" t="s">
        <v>17</v>
      </c>
      <c r="C45" t="str">
        <f>IF(SUM(H48:H49)&gt;SUM(G48:G49),"Delayed",IF(SUM(H48:H49)&lt;SUM(G48:G49),"InAdvanced","Ontime"))</f>
        <v>InAdvanced</v>
      </c>
      <c r="F45" s="6"/>
      <c r="G45" s="6"/>
      <c r="H45" s="6"/>
    </row>
    <row r="47" spans="1:11" ht="45" x14ac:dyDescent="0.25">
      <c r="C47" s="125" t="s">
        <v>25</v>
      </c>
      <c r="D47" s="125" t="s">
        <v>26</v>
      </c>
      <c r="E47" s="126" t="s">
        <v>121</v>
      </c>
      <c r="F47" s="126" t="s">
        <v>122</v>
      </c>
      <c r="G47" s="126" t="s">
        <v>123</v>
      </c>
      <c r="H47" s="126" t="s">
        <v>124</v>
      </c>
      <c r="I47" s="126" t="s">
        <v>29</v>
      </c>
      <c r="J47" s="132" t="str">
        <f>Table!$C$41</f>
        <v>OPL</v>
      </c>
      <c r="K47" s="132" t="str">
        <f>Table!$C$42</f>
        <v>Defect</v>
      </c>
    </row>
    <row r="48" spans="1:11" x14ac:dyDescent="0.25">
      <c r="C48" s="45">
        <v>1</v>
      </c>
      <c r="D48" s="39" t="str">
        <f>Table!$D$3</f>
        <v>PSW</v>
      </c>
      <c r="E48" s="39">
        <f>SUMIFS(Merged_COEM!$W$60:$W$318,Merged_COEM!$D$60:$D$318,D48, Merged_COEM!$C$60:$C$318,C41)</f>
        <v>1044</v>
      </c>
      <c r="F48" s="39">
        <f>SUMIFS(Merged_COEM!$X$60:$X$318,Merged_COEM!$D$60:$D$318,D48, Merged_COEM!$C$60:$C$318,C41)-SUM(SUMIFS(Merged_COEM!$X$60:$X$318,Merged_COEM!$D$60:$D$318,Table!$D$3,Merged_COEM!$AA$60:$AA$318,{"Ongoing","N/A",""},Merged_COEM!$C$60:$C$318,C41))</f>
        <v>1044</v>
      </c>
      <c r="G48" s="39">
        <f>1/8*(SUMIFS(Merged_COEM!$Y$60:$Y$318,Merged_COEM!$D$60:$D$318,D48, Merged_COEM!$C$60:$C$318,C41))</f>
        <v>2.3174999999999999</v>
      </c>
      <c r="H48" s="39">
        <f>1/8*(SUMIFS(Merged_COEM!$Z$60:$Z$318,Merged_COEM!$D$60:$D$318,D48, Merged_COEM!$C$60:$C$318,C41)-SUM(SUMIFS(Merged_COEM!$Z$60:$Z$318,Merged_COEM!$D$60:$D$318,D48,Merged_COEM!$AA$60:$AA$318,{"Ongoing","N/A",""},Merged_COEM!$C$60:$C$318,C41)))</f>
        <v>0.5</v>
      </c>
      <c r="I48" s="40">
        <f>IFERROR(F48/E48,"N/A")</f>
        <v>1</v>
      </c>
      <c r="J48" s="3">
        <f>COUNTIFS(Merged_COEM!$AK$60:$AK$318,J47,Merged_COEM!$D$60:$D$318,D48,Merged_COEM!$C$60:$C$318,C41)</f>
        <v>0</v>
      </c>
      <c r="K48" s="3">
        <f>COUNTIFS(Merged_COEM!$AK$60:$AK$318,K47,Merged_COEM!$D$60:$D$318,D48,Merged_COEM!$C$60:$C$318,C41)</f>
        <v>0</v>
      </c>
    </row>
    <row r="49" spans="1:11" x14ac:dyDescent="0.25">
      <c r="C49" s="45">
        <v>2</v>
      </c>
      <c r="D49" s="39" t="str">
        <f>Table!$C$3</f>
        <v>ASW</v>
      </c>
      <c r="E49" s="39">
        <f>SUMIFS(Merged_COEM!$W$60:$W$318,Merged_COEM!$D$60:$D$318,D49, Merged_COEM!$C$60:$C$318,C41)</f>
        <v>0</v>
      </c>
      <c r="F49" s="39">
        <f>SUMIFS(Merged_COEM!$X$60:$X$318,Merged_COEM!$D$60:$D$318,D49, Merged_COEM!$C$60:$C$318,C41)-SUM(SUMIFS(Merged_COEM!$X$60:$X$318,Merged_COEM!$D$60:$D$318,D49,Merged_COEM!$AA$60:$AA$318,{"Ongoing","N/A",""},Merged_COEM!$C$60:$C$318,C41))</f>
        <v>0</v>
      </c>
      <c r="G49" s="39">
        <f>1/8*(SUMIFS(Merged_COEM!$Y$60:$Y$318,Merged_COEM!$D$60:$D$318,D49, Merged_COEM!$C$60:$C$318,C41))</f>
        <v>0</v>
      </c>
      <c r="H49" s="39">
        <f>1/8*(SUMIFS(Merged_COEM!$Z$60:$Z$318,Merged_COEM!$D$60:$D$318,D49, Merged_COEM!$C$60:$C$318,C41)-SUM(SUMIFS(Merged_COEM!$Z$60:$Z$318,Merged_COEM!$D$60:$D$318,D49,Merged_COEM!$AA$60:$AA$318,{"Ongoing","N/A",""},Merged_COEM!$C$60:$C$318,C41)))</f>
        <v>0</v>
      </c>
      <c r="I49" s="40" t="str">
        <f>IFERROR(F49/E49,"N/A")</f>
        <v>N/A</v>
      </c>
      <c r="J49" s="3">
        <f>COUNTIFS(Merged_COEM!$AK$60:$AK$318,J47,Merged_COEM!$D$60:$D$318,D49,Merged_COEM!$C$60:$C$318,C41)</f>
        <v>0</v>
      </c>
      <c r="K49" s="3">
        <f>COUNTIFS(Merged_COEM!$AK$60:$AK$318,K47,Merged_COEM!$D$60:$D$318,D49,Merged_COEM!$C$60:$C$318,C41)</f>
        <v>0</v>
      </c>
    </row>
    <row r="51" spans="1:11" x14ac:dyDescent="0.25">
      <c r="C51" t="s">
        <v>126</v>
      </c>
    </row>
    <row r="52" spans="1:11" x14ac:dyDescent="0.25">
      <c r="D52" s="127" t="s">
        <v>130</v>
      </c>
    </row>
    <row r="54" spans="1:11" x14ac:dyDescent="0.25">
      <c r="A54" s="124">
        <v>5</v>
      </c>
      <c r="B54" s="124" t="s">
        <v>56</v>
      </c>
      <c r="C54" s="124">
        <v>20200522</v>
      </c>
    </row>
    <row r="55" spans="1:11" x14ac:dyDescent="0.25">
      <c r="B55" s="124" t="s">
        <v>119</v>
      </c>
      <c r="C55">
        <f>SUM(G61:G62)</f>
        <v>8.8099999999999987</v>
      </c>
      <c r="D55" t="s">
        <v>120</v>
      </c>
    </row>
    <row r="56" spans="1:11" x14ac:dyDescent="0.25">
      <c r="B56" s="124" t="s">
        <v>128</v>
      </c>
      <c r="C56">
        <f>SUM(INT((WEEKDAY(F56-{2,3,4,5,6})+H56-F56)/7))</f>
        <v>5</v>
      </c>
      <c r="D56" t="s">
        <v>120</v>
      </c>
      <c r="E56" t="s">
        <v>152</v>
      </c>
      <c r="F56" s="6">
        <v>43973</v>
      </c>
      <c r="G56" s="6" t="s">
        <v>118</v>
      </c>
      <c r="H56" s="6">
        <v>43979</v>
      </c>
    </row>
    <row r="57" spans="1:11" x14ac:dyDescent="0.25">
      <c r="B57" s="124" t="s">
        <v>129</v>
      </c>
      <c r="C57">
        <f>SUM(INT((WEEKDAY(F57-{2,3,4,5,6})+H57-F57)/7))</f>
        <v>5</v>
      </c>
      <c r="D57" t="s">
        <v>120</v>
      </c>
      <c r="E57" t="s">
        <v>152</v>
      </c>
      <c r="F57" s="6">
        <v>43973</v>
      </c>
      <c r="G57" s="6" t="s">
        <v>118</v>
      </c>
      <c r="H57" s="6">
        <v>43979</v>
      </c>
    </row>
    <row r="58" spans="1:11" x14ac:dyDescent="0.25">
      <c r="B58" s="124" t="s">
        <v>17</v>
      </c>
      <c r="C58" t="str">
        <f>IF(SUM(H61:H62)&gt;SUM(G61:G62),"Delayed",IF(SUM(H61:H62)&lt;SUM(G61:G62),"InAdvanced","Ontime"))</f>
        <v>InAdvanced</v>
      </c>
      <c r="F58" s="6"/>
      <c r="G58" s="6"/>
      <c r="H58" s="6"/>
    </row>
    <row r="60" spans="1:11" ht="45" x14ac:dyDescent="0.25">
      <c r="C60" s="125" t="s">
        <v>25</v>
      </c>
      <c r="D60" s="125" t="s">
        <v>26</v>
      </c>
      <c r="E60" s="126" t="s">
        <v>121</v>
      </c>
      <c r="F60" s="126" t="s">
        <v>122</v>
      </c>
      <c r="G60" s="126" t="s">
        <v>123</v>
      </c>
      <c r="H60" s="126" t="s">
        <v>124</v>
      </c>
      <c r="I60" s="126" t="s">
        <v>29</v>
      </c>
      <c r="J60" s="132" t="str">
        <f>Table!$C$41</f>
        <v>OPL</v>
      </c>
      <c r="K60" s="132" t="str">
        <f>Table!$C$42</f>
        <v>Defect</v>
      </c>
    </row>
    <row r="61" spans="1:11" x14ac:dyDescent="0.25">
      <c r="C61" s="45">
        <v>1</v>
      </c>
      <c r="D61" s="39" t="str">
        <f>Table!$D$3</f>
        <v>PSW</v>
      </c>
      <c r="E61" s="39">
        <f>SUMIFS(Merged_COEM!$W$60:$W$318,Merged_COEM!$D$60:$D$318,D61, Merged_COEM!$C$60:$C$318,C54)</f>
        <v>3157</v>
      </c>
      <c r="F61" s="39">
        <f>SUMIFS(Merged_COEM!$X$60:$X$318,Merged_COEM!$D$60:$D$318,D61, Merged_COEM!$C$60:$C$318,C54)-SUM(SUMIFS(Merged_COEM!$X$60:$X$318,Merged_COEM!$D$60:$D$318,Table!$D$3,Merged_COEM!$AA$60:$AA$318,{"Ongoing","N/A",""},Merged_COEM!$C$60:$C$318,C54))</f>
        <v>3157</v>
      </c>
      <c r="G61" s="39">
        <f>1/8*(SUMIFS(Merged_COEM!$Y$60:$Y$318,Merged_COEM!$D$60:$D$318,D61, Merged_COEM!$C$60:$C$318,C54))</f>
        <v>7.004999999999999</v>
      </c>
      <c r="H61" s="39">
        <f>1/8*(SUMIFS(Merged_COEM!$Z$60:$Z$318,Merged_COEM!$D$60:$D$318,D61, Merged_COEM!$C$60:$C$318,C54)-SUM(SUMIFS(Merged_COEM!$Z$60:$Z$318,Merged_COEM!$D$60:$D$318,D61,Merged_COEM!$AA$60:$AA$318,{"Ongoing","N/A",""},Merged_COEM!$C$60:$C$318,C54)))</f>
        <v>2.3624999999999998</v>
      </c>
      <c r="I61" s="40">
        <f>IFERROR(F61/E61,"N/A")</f>
        <v>1</v>
      </c>
      <c r="J61" s="3">
        <f>COUNTIFS(Merged_COEM!$AK$60:$AK$318,J60,Merged_COEM!$D$60:$D$318,D61,Merged_COEM!$C$60:$C$318,C54)</f>
        <v>3</v>
      </c>
      <c r="K61" s="3">
        <f>COUNTIFS(Merged_COEM!$AK$60:$AK$318,K60,Merged_COEM!$D$60:$D$318,D61,Merged_COEM!$C$60:$C$318,C54)</f>
        <v>0</v>
      </c>
    </row>
    <row r="62" spans="1:11" x14ac:dyDescent="0.25">
      <c r="C62" s="45">
        <v>2</v>
      </c>
      <c r="D62" s="39" t="str">
        <f>Table!$C$3</f>
        <v>ASW</v>
      </c>
      <c r="E62" s="39">
        <f>SUMIFS(Merged_COEM!$W$60:$W$318,Merged_COEM!$D$60:$D$318,D62, Merged_COEM!$C$60:$C$318,C54)</f>
        <v>235</v>
      </c>
      <c r="F62" s="39">
        <f>SUMIFS(Merged_COEM!$X$60:$X$318,Merged_COEM!$D$60:$D$318,D62, Merged_COEM!$C$60:$C$318,C54)-SUM(SUMIFS(Merged_COEM!$X$60:$X$318,Merged_COEM!$D$60:$D$318,D62,Merged_COEM!$AA$60:$AA$318,{"Ongoing","N/A",""},Merged_COEM!$C$60:$C$318,C54))</f>
        <v>80</v>
      </c>
      <c r="G62" s="39">
        <f>1/8*(SUMIFS(Merged_COEM!$Y$60:$Y$318,Merged_COEM!$D$60:$D$318,D62, Merged_COEM!$C$60:$C$318,C54))</f>
        <v>1.8050000000000002</v>
      </c>
      <c r="H62" s="39">
        <f>1/8*(SUMIFS(Merged_COEM!$Z$60:$Z$318,Merged_COEM!$D$60:$D$318,D62, Merged_COEM!$C$60:$C$318,C54)-SUM(SUMIFS(Merged_COEM!$Z$60:$Z$318,Merged_COEM!$D$60:$D$318,D62,Merged_COEM!$AA$60:$AA$318,{"Ongoing","N/A",""},Merged_COEM!$C$60:$C$318,C54)))</f>
        <v>0.5</v>
      </c>
      <c r="I62" s="40">
        <f>IFERROR(F62/E62,"N/A")</f>
        <v>0.34042553191489361</v>
      </c>
      <c r="J62" s="3">
        <f>COUNTIFS(Merged_COEM!$AK$60:$AK$318,J60,Merged_COEM!$D$60:$D$318,D62,Merged_COEM!$C$60:$C$318,C54)</f>
        <v>1</v>
      </c>
      <c r="K62" s="3">
        <f>COUNTIFS(Merged_COEM!$AK$60:$AK$318,K60,Merged_COEM!$D$60:$D$318,D62,Merged_COEM!$C$60:$C$318,C54)</f>
        <v>0</v>
      </c>
    </row>
    <row r="64" spans="1:11" x14ac:dyDescent="0.25">
      <c r="C64" t="s">
        <v>126</v>
      </c>
    </row>
    <row r="65" spans="1:11" x14ac:dyDescent="0.25">
      <c r="D65" s="127" t="s">
        <v>130</v>
      </c>
    </row>
    <row r="67" spans="1:11" x14ac:dyDescent="0.25">
      <c r="A67" s="146">
        <v>6</v>
      </c>
      <c r="B67" s="146" t="s">
        <v>56</v>
      </c>
      <c r="C67" s="146">
        <v>20200525</v>
      </c>
    </row>
    <row r="68" spans="1:11" x14ac:dyDescent="0.25">
      <c r="B68" s="146" t="s">
        <v>119</v>
      </c>
      <c r="C68">
        <f>SUM(G74:G75)</f>
        <v>13.709999999999999</v>
      </c>
      <c r="D68" t="s">
        <v>120</v>
      </c>
    </row>
    <row r="69" spans="1:11" x14ac:dyDescent="0.25">
      <c r="B69" s="146" t="s">
        <v>128</v>
      </c>
      <c r="C69">
        <f>SUM(INT((WEEKDAY(F69-{2,3,4,5,6})+H69-F69)/7))</f>
        <v>6</v>
      </c>
      <c r="D69" t="s">
        <v>120</v>
      </c>
      <c r="E69" t="s">
        <v>152</v>
      </c>
      <c r="F69" s="6">
        <v>43976</v>
      </c>
      <c r="G69" s="6" t="s">
        <v>118</v>
      </c>
      <c r="H69" s="6">
        <v>43983</v>
      </c>
    </row>
    <row r="70" spans="1:11" x14ac:dyDescent="0.25">
      <c r="B70" s="146" t="s">
        <v>129</v>
      </c>
      <c r="C70">
        <f>SUM(INT((WEEKDAY(F70-{2,3,4,5,6})+H70-F70)/7))</f>
        <v>6</v>
      </c>
      <c r="D70" t="s">
        <v>120</v>
      </c>
      <c r="E70" t="s">
        <v>152</v>
      </c>
      <c r="F70" s="6">
        <v>43976</v>
      </c>
      <c r="G70" s="6" t="s">
        <v>118</v>
      </c>
      <c r="H70" s="6">
        <v>43983</v>
      </c>
    </row>
    <row r="71" spans="1:11" x14ac:dyDescent="0.25">
      <c r="B71" s="146" t="s">
        <v>17</v>
      </c>
      <c r="C71" t="str">
        <f>IF(SUM(H74:H75)&gt;SUM(G74:G75),"Delayed",IF(SUM(H74:H75)&lt;SUM(G74:G75),"InAdvanced","Ontime"))</f>
        <v>InAdvanced</v>
      </c>
      <c r="F71" s="6"/>
      <c r="G71" s="6"/>
      <c r="H71" s="6"/>
    </row>
    <row r="73" spans="1:11" ht="45" x14ac:dyDescent="0.25">
      <c r="C73" s="147" t="s">
        <v>25</v>
      </c>
      <c r="D73" s="147" t="s">
        <v>26</v>
      </c>
      <c r="E73" s="132" t="s">
        <v>121</v>
      </c>
      <c r="F73" s="132" t="s">
        <v>122</v>
      </c>
      <c r="G73" s="132" t="s">
        <v>123</v>
      </c>
      <c r="H73" s="132" t="s">
        <v>124</v>
      </c>
      <c r="I73" s="132" t="s">
        <v>29</v>
      </c>
      <c r="J73" s="132" t="str">
        <f>Table!$C$41</f>
        <v>OPL</v>
      </c>
      <c r="K73" s="132" t="str">
        <f>Table!$C$42</f>
        <v>Defect</v>
      </c>
    </row>
    <row r="74" spans="1:11" x14ac:dyDescent="0.25">
      <c r="C74" s="45">
        <v>1</v>
      </c>
      <c r="D74" s="39" t="str">
        <f>Table!$D$3</f>
        <v>PSW</v>
      </c>
      <c r="E74" s="39">
        <f>SUMIFS(Merged_COEM!$W$60:$W$318,Merged_COEM!$D$60:$D$318,D74, Merged_COEM!$C$60:$C$318,C67)</f>
        <v>6183</v>
      </c>
      <c r="F74" s="39">
        <f>SUMIFS(Merged_COEM!$X$60:$X$318,Merged_COEM!$D$60:$D$318,D74, Merged_COEM!$C$60:$C$318,C67)-SUM(SUMIFS(Merged_COEM!$X$60:$X$318,Merged_COEM!$D$60:$D$318,Table!$D$3,Merged_COEM!$AA$60:$AA$318,{"Ongoing","N/A",""},Merged_COEM!$C$60:$C$318,C67))</f>
        <v>3722</v>
      </c>
      <c r="G74" s="39">
        <f>1/8*(SUMIFS(Merged_COEM!$Y$60:$Y$318,Merged_COEM!$D$60:$D$318,D74, Merged_COEM!$C$60:$C$318,C67))</f>
        <v>13.709999999999999</v>
      </c>
      <c r="H74" s="39">
        <f>1/8*(SUMIFS(Merged_COEM!$Z$60:$Z$318,Merged_COEM!$D$60:$D$318,D74, Merged_COEM!$C$60:$C$318,C67)-SUM(SUMIFS(Merged_COEM!$Z$60:$Z$318,Merged_COEM!$D$60:$D$318,D74,Merged_COEM!$AA$60:$AA$318,{"Ongoing","N/A",""},Merged_COEM!$C$60:$C$318,C67)))</f>
        <v>4.0337500000000004</v>
      </c>
      <c r="I74" s="40">
        <f>IFERROR(F74/E74,"N/A")</f>
        <v>0.60197315219149283</v>
      </c>
      <c r="J74" s="3">
        <f>COUNTIFS(Merged_COEM!$AK$60:$AK$318,J73,Merged_COEM!$D$60:$D$318,D74,Merged_COEM!$C$60:$C$318,C67)</f>
        <v>2</v>
      </c>
      <c r="K74" s="3">
        <f>COUNTIFS(Merged_COEM!$AK$60:$AK$318,K73,Merged_COEM!$D$60:$D$318,D74,Merged_COEM!$C$60:$C$318,C67)</f>
        <v>0</v>
      </c>
    </row>
    <row r="75" spans="1:11" x14ac:dyDescent="0.25">
      <c r="C75" s="45">
        <v>2</v>
      </c>
      <c r="D75" s="39" t="str">
        <f>Table!$C$3</f>
        <v>ASW</v>
      </c>
      <c r="E75" s="39">
        <f>SUMIFS(Merged_COEM!$W$60:$W$318,Merged_COEM!$D$60:$D$318,D75, Merged_COEM!$C$60:$C$318,C67)</f>
        <v>0</v>
      </c>
      <c r="F75" s="39">
        <f>SUMIFS(Merged_COEM!$X$60:$X$318,Merged_COEM!$D$60:$D$318,D75, Merged_COEM!$C$60:$C$318,C67)-SUM(SUMIFS(Merged_COEM!$X$60:$X$318,Merged_COEM!$D$60:$D$318,D75,Merged_COEM!$AA$60:$AA$318,{"Ongoing","N/A",""},Merged_COEM!$C$60:$C$318,C67))</f>
        <v>0</v>
      </c>
      <c r="G75" s="39">
        <f>1/8*(SUMIFS(Merged_COEM!$Y$60:$Y$318,Merged_COEM!$D$60:$D$318,D75, Merged_COEM!$C$60:$C$318,C67))</f>
        <v>0</v>
      </c>
      <c r="H75" s="39">
        <f>1/8*(SUMIFS(Merged_COEM!$Z$60:$Z$318,Merged_COEM!$D$60:$D$318,D75, Merged_COEM!$C$60:$C$318,C67)-SUM(SUMIFS(Merged_COEM!$Z$60:$Z$318,Merged_COEM!$D$60:$D$318,D75,Merged_COEM!$AA$60:$AA$318,{"Ongoing","N/A",""},Merged_COEM!$C$60:$C$318,C67)))</f>
        <v>0</v>
      </c>
      <c r="I75" s="40" t="str">
        <f>IFERROR(F75/E75,"N/A")</f>
        <v>N/A</v>
      </c>
      <c r="J75" s="3">
        <f>COUNTIFS(Merged_COEM!$AK$60:$AK$318,J73,Merged_COEM!$D$60:$D$318,D75,Merged_COEM!$C$60:$C$318,C67)</f>
        <v>0</v>
      </c>
      <c r="K75" s="3">
        <f>COUNTIFS(Merged_COEM!$AK$60:$AK$318,K73,Merged_COEM!$D$60:$D$318,D75,Merged_COEM!$C$60:$C$318,C67)</f>
        <v>0</v>
      </c>
    </row>
    <row r="77" spans="1:11" x14ac:dyDescent="0.25">
      <c r="C77" t="s">
        <v>126</v>
      </c>
    </row>
    <row r="78" spans="1:11" x14ac:dyDescent="0.25">
      <c r="D78" s="148" t="s">
        <v>130</v>
      </c>
    </row>
    <row r="80" spans="1:11" x14ac:dyDescent="0.25">
      <c r="A80" s="146">
        <v>7</v>
      </c>
      <c r="B80" s="146" t="s">
        <v>56</v>
      </c>
      <c r="C80" s="146">
        <v>20200526</v>
      </c>
    </row>
    <row r="81" spans="1:11" x14ac:dyDescent="0.25">
      <c r="B81" s="146" t="s">
        <v>119</v>
      </c>
      <c r="C81">
        <f>SUM(G87:G88)</f>
        <v>22.8825</v>
      </c>
      <c r="D81" t="s">
        <v>120</v>
      </c>
    </row>
    <row r="82" spans="1:11" x14ac:dyDescent="0.25">
      <c r="B82" s="146" t="s">
        <v>128</v>
      </c>
      <c r="C82">
        <f>SUM(INT((WEEKDAY(F82-{2,3,4,5,6})+H82-F82)/7))</f>
        <v>5</v>
      </c>
      <c r="D82" t="s">
        <v>120</v>
      </c>
      <c r="E82" t="s">
        <v>152</v>
      </c>
      <c r="F82" s="6">
        <v>43978</v>
      </c>
      <c r="G82" s="6" t="s">
        <v>118</v>
      </c>
      <c r="H82" s="6">
        <v>43984</v>
      </c>
    </row>
    <row r="83" spans="1:11" x14ac:dyDescent="0.25">
      <c r="B83" s="146" t="s">
        <v>129</v>
      </c>
      <c r="C83">
        <f>SUM(INT((WEEKDAY(F83-{2,3,4,5,6})+H83-F83)/7))</f>
        <v>5</v>
      </c>
      <c r="D83" t="s">
        <v>120</v>
      </c>
      <c r="E83" t="s">
        <v>152</v>
      </c>
      <c r="F83" s="6">
        <v>43978</v>
      </c>
      <c r="G83" s="6" t="s">
        <v>118</v>
      </c>
      <c r="H83" s="6">
        <v>43984</v>
      </c>
    </row>
    <row r="84" spans="1:11" x14ac:dyDescent="0.25">
      <c r="B84" s="146" t="s">
        <v>17</v>
      </c>
      <c r="C84" t="str">
        <f>IF(SUM(H87:H88)&gt;SUM(G87:G88),"Delayed",IF(SUM(H87:H88)&lt;SUM(G87:G88),"InAdvanced","Ontime"))</f>
        <v>InAdvanced</v>
      </c>
      <c r="F84" s="6"/>
      <c r="G84" s="6"/>
      <c r="H84" s="6"/>
    </row>
    <row r="86" spans="1:11" ht="45" x14ac:dyDescent="0.25">
      <c r="C86" s="147" t="s">
        <v>25</v>
      </c>
      <c r="D86" s="147" t="s">
        <v>26</v>
      </c>
      <c r="E86" s="132" t="s">
        <v>121</v>
      </c>
      <c r="F86" s="132" t="s">
        <v>122</v>
      </c>
      <c r="G86" s="132" t="s">
        <v>123</v>
      </c>
      <c r="H86" s="132" t="s">
        <v>124</v>
      </c>
      <c r="I86" s="132" t="s">
        <v>29</v>
      </c>
      <c r="J86" s="132" t="str">
        <f>Table!$C$41</f>
        <v>OPL</v>
      </c>
      <c r="K86" s="132" t="str">
        <f>Table!$C$42</f>
        <v>Defect</v>
      </c>
    </row>
    <row r="87" spans="1:11" x14ac:dyDescent="0.25">
      <c r="C87" s="45">
        <v>1</v>
      </c>
      <c r="D87" s="39" t="str">
        <f>Table!$D$3</f>
        <v>PSW</v>
      </c>
      <c r="E87" s="39">
        <f>SUMIFS(Merged_COEM!$W$60:$W$318,Merged_COEM!$D$60:$D$318,D87, Merged_COEM!$C$60:$C$318,C80)</f>
        <v>10212</v>
      </c>
      <c r="F87" s="39">
        <f>SUMIFS(Merged_COEM!$X$60:$X$318,Merged_COEM!$D$60:$D$318,D87, Merged_COEM!$C$60:$C$318,C80)-SUM(SUMIFS(Merged_COEM!$X$60:$X$318,Merged_COEM!$D$60:$D$318,Table!$D$3,Merged_COEM!$AA$60:$AA$318,{"Ongoing","N/A",""},Merged_COEM!$C$60:$C$318,C80))</f>
        <v>6750</v>
      </c>
      <c r="G87" s="39">
        <f>1/8*(SUMIFS(Merged_COEM!$Y$60:$Y$318,Merged_COEM!$D$60:$D$318,D87, Merged_COEM!$C$60:$C$318,C80))</f>
        <v>22.6675</v>
      </c>
      <c r="H87" s="39">
        <f>1/8*(SUMIFS(Merged_COEM!$Z$60:$Z$318,Merged_COEM!$D$60:$D$318,D87, Merged_COEM!$C$60:$C$318,C80)-SUM(SUMIFS(Merged_COEM!$Z$60:$Z$318,Merged_COEM!$D$60:$D$318,D87,Merged_COEM!$AA$60:$AA$318,{"Ongoing","N/A",""},Merged_COEM!$C$60:$C$318,C80)))</f>
        <v>5.0550000000000006</v>
      </c>
      <c r="I87" s="40">
        <f>IFERROR(F87/E87,"N/A")</f>
        <v>0.66098707403055235</v>
      </c>
      <c r="J87" s="3">
        <f>COUNTIFS(Merged_COEM!$AK$60:$AK$318,J86,Merged_COEM!$D$60:$D$318,D87,Merged_COEM!$C$60:$C$318,C80)</f>
        <v>4</v>
      </c>
      <c r="K87" s="3">
        <f>COUNTIFS(Merged_COEM!$AK$60:$AK$318,K86,Merged_COEM!$D$60:$D$318,D87,Merged_COEM!$C$60:$C$318,C80)</f>
        <v>0</v>
      </c>
    </row>
    <row r="88" spans="1:11" x14ac:dyDescent="0.25">
      <c r="C88" s="45">
        <v>2</v>
      </c>
      <c r="D88" s="39" t="str">
        <f>Table!$C$3</f>
        <v>ASW</v>
      </c>
      <c r="E88" s="39">
        <f>SUMIFS(Merged_COEM!$W$60:$W$318,Merged_COEM!$D$60:$D$318,D88, Merged_COEM!$C$60:$C$318,C80)</f>
        <v>28</v>
      </c>
      <c r="F88" s="39">
        <f>SUMIFS(Merged_COEM!$X$60:$X$318,Merged_COEM!$D$60:$D$318,D88, Merged_COEM!$C$60:$C$318,C80)-SUM(SUMIFS(Merged_COEM!$X$60:$X$318,Merged_COEM!$D$60:$D$318,D88,Merged_COEM!$AA$60:$AA$318,{"Ongoing","N/A",""},Merged_COEM!$C$60:$C$318,C80))</f>
        <v>28</v>
      </c>
      <c r="G88" s="39">
        <f>1/8*(SUMIFS(Merged_COEM!$Y$60:$Y$318,Merged_COEM!$D$60:$D$318,D88, Merged_COEM!$C$60:$C$318,C80))</f>
        <v>0.215</v>
      </c>
      <c r="H88" s="39">
        <f>1/8*(SUMIFS(Merged_COEM!$Z$60:$Z$318,Merged_COEM!$D$60:$D$318,D88, Merged_COEM!$C$60:$C$318,C80)-SUM(SUMIFS(Merged_COEM!$Z$60:$Z$318,Merged_COEM!$D$60:$D$318,D88,Merged_COEM!$AA$60:$AA$318,{"Ongoing","N/A",""},Merged_COEM!$C$60:$C$318,C80)))</f>
        <v>0.125</v>
      </c>
      <c r="I88" s="40">
        <f>IFERROR(F88/E88,"N/A")</f>
        <v>1</v>
      </c>
      <c r="J88" s="3">
        <f>COUNTIFS(Merged_COEM!$AK$60:$AK$318,J86,Merged_COEM!$D$60:$D$318,D88,Merged_COEM!$C$60:$C$318,C80)</f>
        <v>0</v>
      </c>
      <c r="K88" s="3">
        <f>COUNTIFS(Merged_COEM!$AK$60:$AK$318,K86,Merged_COEM!$D$60:$D$318,D88,Merged_COEM!$C$60:$C$318,C80)</f>
        <v>0</v>
      </c>
    </row>
    <row r="90" spans="1:11" x14ac:dyDescent="0.25">
      <c r="C90" t="s">
        <v>126</v>
      </c>
    </row>
    <row r="91" spans="1:11" x14ac:dyDescent="0.25">
      <c r="D91" s="148" t="s">
        <v>130</v>
      </c>
    </row>
    <row r="93" spans="1:11" x14ac:dyDescent="0.25">
      <c r="A93" s="146">
        <v>8</v>
      </c>
      <c r="B93" s="146" t="s">
        <v>56</v>
      </c>
      <c r="C93" s="146">
        <v>20200528</v>
      </c>
    </row>
    <row r="94" spans="1:11" x14ac:dyDescent="0.25">
      <c r="B94" s="146" t="s">
        <v>119</v>
      </c>
      <c r="C94">
        <f>SUM(G100:G101)</f>
        <v>1.0787499999999999</v>
      </c>
      <c r="D94" t="s">
        <v>120</v>
      </c>
    </row>
    <row r="95" spans="1:11" x14ac:dyDescent="0.25">
      <c r="B95" s="146" t="s">
        <v>128</v>
      </c>
      <c r="C95">
        <f>SUM(INT((WEEKDAY(F95-{2,3,4,5,6})+H95-F95)/7))</f>
        <v>5</v>
      </c>
      <c r="D95" t="s">
        <v>120</v>
      </c>
      <c r="E95" t="s">
        <v>152</v>
      </c>
      <c r="F95" s="6">
        <v>43978</v>
      </c>
      <c r="G95" s="6" t="s">
        <v>118</v>
      </c>
      <c r="H95" s="6">
        <v>43984</v>
      </c>
    </row>
    <row r="96" spans="1:11" x14ac:dyDescent="0.25">
      <c r="B96" s="146" t="s">
        <v>129</v>
      </c>
      <c r="C96">
        <f>SUM(INT((WEEKDAY(F96-{2,3,4,5,6})+H96-F96)/7))</f>
        <v>5</v>
      </c>
      <c r="D96" t="s">
        <v>120</v>
      </c>
      <c r="E96" t="s">
        <v>152</v>
      </c>
      <c r="F96" s="6">
        <v>43978</v>
      </c>
      <c r="G96" s="6" t="s">
        <v>118</v>
      </c>
      <c r="H96" s="6">
        <v>43984</v>
      </c>
    </row>
    <row r="97" spans="2:11" x14ac:dyDescent="0.25">
      <c r="B97" s="146" t="s">
        <v>17</v>
      </c>
      <c r="C97" t="str">
        <f>IF(SUM(H100:H101)&gt;SUM(G100:G101),"Delayed",IF(SUM(H100:H101)&lt;SUM(G100:G101),"InAdvanced","Ontime"))</f>
        <v>InAdvanced</v>
      </c>
      <c r="F97" s="6"/>
      <c r="G97" s="6"/>
      <c r="H97" s="6"/>
    </row>
    <row r="99" spans="2:11" ht="45" x14ac:dyDescent="0.25">
      <c r="C99" s="147" t="s">
        <v>25</v>
      </c>
      <c r="D99" s="147" t="s">
        <v>26</v>
      </c>
      <c r="E99" s="132" t="s">
        <v>121</v>
      </c>
      <c r="F99" s="132" t="s">
        <v>122</v>
      </c>
      <c r="G99" s="132" t="s">
        <v>123</v>
      </c>
      <c r="H99" s="132" t="s">
        <v>124</v>
      </c>
      <c r="I99" s="132" t="s">
        <v>29</v>
      </c>
      <c r="J99" s="132" t="str">
        <f>Table!$C$41</f>
        <v>OPL</v>
      </c>
      <c r="K99" s="132" t="str">
        <f>Table!$C$42</f>
        <v>Defect</v>
      </c>
    </row>
    <row r="100" spans="2:11" x14ac:dyDescent="0.25">
      <c r="C100" s="45">
        <v>1</v>
      </c>
      <c r="D100" s="39" t="str">
        <f>Table!$D$3</f>
        <v>PSW</v>
      </c>
      <c r="E100" s="39">
        <f>SUMIFS(Merged_COEM!$W$60:$W$318,Merged_COEM!$D$60:$D$318,D100, Merged_COEM!$C$60:$C$318,C93)</f>
        <v>261</v>
      </c>
      <c r="F100" s="39">
        <f>SUMIFS(Merged_COEM!$X$60:$X$318,Merged_COEM!$D$60:$D$318,D100, Merged_COEM!$C$60:$C$318,C93)-SUM(SUMIFS(Merged_COEM!$X$60:$X$318,Merged_COEM!$D$60:$D$318,Table!$D$3,Merged_COEM!$AA$60:$AA$318,{"Ongoing","N/A",""},Merged_COEM!$C$60:$C$318,C93))</f>
        <v>0</v>
      </c>
      <c r="G100" s="39">
        <f>1/8*(SUMIFS(Merged_COEM!$Y$60:$Y$318,Merged_COEM!$D$60:$D$318,D100, Merged_COEM!$C$60:$C$318,C93))</f>
        <v>0.57999999999999996</v>
      </c>
      <c r="H100" s="39">
        <f>1/8*(SUMIFS(Merged_COEM!$Z$60:$Z$318,Merged_COEM!$D$60:$D$318,D100, Merged_COEM!$C$60:$C$318,C93)-SUM(SUMIFS(Merged_COEM!$Z$60:$Z$318,Merged_COEM!$D$60:$D$318,D100,Merged_COEM!$AA$60:$AA$318,{"Ongoing","N/A",""},Merged_COEM!$C$60:$C$318,C93)))</f>
        <v>0</v>
      </c>
      <c r="I100" s="40">
        <f>IFERROR(F100/E100,"N/A")</f>
        <v>0</v>
      </c>
      <c r="J100" s="3">
        <f>COUNTIFS(Merged_COEM!$AK$60:$AK$318,J99,Merged_COEM!$D$60:$D$318,D100,Merged_COEM!$C$60:$C$318,C93)</f>
        <v>0</v>
      </c>
      <c r="K100" s="3">
        <f>COUNTIFS(Merged_COEM!$AK$60:$AK$318,K99,Merged_COEM!$D$60:$D$318,D100,Merged_COEM!$C$60:$C$318,C93)</f>
        <v>0</v>
      </c>
    </row>
    <row r="101" spans="2:11" x14ac:dyDescent="0.25">
      <c r="C101" s="45">
        <v>2</v>
      </c>
      <c r="D101" s="39" t="str">
        <f>Table!$C$3</f>
        <v>ASW</v>
      </c>
      <c r="E101" s="39">
        <f>SUMIFS(Merged_COEM!$W$60:$W$318,Merged_COEM!$D$60:$D$318,D101, Merged_COEM!$C$60:$C$318,C93)</f>
        <v>65</v>
      </c>
      <c r="F101" s="39">
        <f>SUMIFS(Merged_COEM!$X$60:$X$318,Merged_COEM!$D$60:$D$318,D101, Merged_COEM!$C$60:$C$318,C93)-SUM(SUMIFS(Merged_COEM!$X$60:$X$318,Merged_COEM!$D$60:$D$318,D101,Merged_COEM!$AA$60:$AA$318,{"Ongoing","N/A",""},Merged_COEM!$C$60:$C$318,C93))</f>
        <v>49</v>
      </c>
      <c r="G101" s="39">
        <f>1/8*(SUMIFS(Merged_COEM!$Y$60:$Y$318,Merged_COEM!$D$60:$D$318,D101, Merged_COEM!$C$60:$C$318,C93))</f>
        <v>0.49874999999999997</v>
      </c>
      <c r="H101" s="39">
        <f>1/8*(SUMIFS(Merged_COEM!$Z$60:$Z$318,Merged_COEM!$D$60:$D$318,D101, Merged_COEM!$C$60:$C$318,C93)-SUM(SUMIFS(Merged_COEM!$Z$60:$Z$318,Merged_COEM!$D$60:$D$318,D101,Merged_COEM!$AA$60:$AA$318,{"Ongoing","N/A",""},Merged_COEM!$C$60:$C$318,C93)))</f>
        <v>0.375</v>
      </c>
      <c r="I101" s="40">
        <f>IFERROR(F101/E101,"N/A")</f>
        <v>0.75384615384615383</v>
      </c>
      <c r="J101" s="3">
        <f>COUNTIFS(Merged_COEM!$AK$60:$AK$318,J99,Merged_COEM!$D$60:$D$318,D101,Merged_COEM!$C$60:$C$318,C93)</f>
        <v>0</v>
      </c>
      <c r="K101" s="3">
        <f>COUNTIFS(Merged_COEM!$AK$60:$AK$318,K99,Merged_COEM!$D$60:$D$318,D101,Merged_COEM!$C$60:$C$318,C93)</f>
        <v>0</v>
      </c>
    </row>
    <row r="103" spans="2:11" x14ac:dyDescent="0.25">
      <c r="C103" t="s">
        <v>126</v>
      </c>
    </row>
    <row r="104" spans="2:11" x14ac:dyDescent="0.25">
      <c r="D104" s="148" t="s">
        <v>130</v>
      </c>
    </row>
  </sheetData>
  <customSheetViews>
    <customSheetView guid="{3B3E6719-EACB-4D2C-89C1-05FFAB6020FD}" scale="85" topLeftCell="A151">
      <selection activeCell="A178" sqref="A178:XFD178"/>
      <pageMargins left="0.7" right="0.7" top="0.75" bottom="0.75" header="0.3" footer="0.3"/>
      <pageSetup orientation="portrait" r:id="rId1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2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3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4"/>
    </customSheetView>
    <customSheetView guid="{7ECC2B8E-6A82-42F5-8AB0-4A51C54EA5EC}" scale="85" topLeftCell="A19">
      <selection activeCell="M30" sqref="M30"/>
      <pageMargins left="0.7" right="0.7" top="0.75" bottom="0.75" header="0.3" footer="0.3"/>
      <pageSetup orientation="portrait" r:id="rId5"/>
    </customSheetView>
    <customSheetView guid="{7E0EA425-A420-4443-B9E0-CDF0AA9E5D09}" scale="85" topLeftCell="A43">
      <selection activeCell="G112" sqref="G112"/>
      <pageMargins left="0.7" right="0.7" top="0.75" bottom="0.75" header="0.3" footer="0.3"/>
      <pageSetup orientation="portrait" r:id="rId6"/>
    </customSheetView>
    <customSheetView guid="{4E06BDBF-2CED-473B-850B-2A6C7311FF41}" scale="85">
      <selection activeCell="B51" sqref="B51"/>
      <pageMargins left="0.7" right="0.7" top="0.75" bottom="0.75" header="0.3" footer="0.3"/>
      <pageSetup orientation="portrait" r:id="rId7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8"/>
    </customSheetView>
    <customSheetView guid="{970EE037-F5E5-47AF-896A-0F6222879EBC}" scale="85" topLeftCell="A79">
      <selection activeCell="C94" sqref="C94"/>
      <pageMargins left="0.7" right="0.7" top="0.75" bottom="0.75" header="0.3" footer="0.3"/>
      <pageSetup orientation="portrait" r:id="rId9"/>
    </customSheetView>
  </customSheetViews>
  <pageMargins left="0.7" right="0.7" top="0.75" bottom="0.75" header="0.3" footer="0.3"/>
  <pageSetup orientation="portrait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8"/>
  <sheetViews>
    <sheetView workbookViewId="0">
      <selection activeCell="A29" sqref="A29:XFD29"/>
    </sheetView>
  </sheetViews>
  <sheetFormatPr defaultRowHeight="15" x14ac:dyDescent="0.25"/>
  <cols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56</v>
      </c>
      <c r="C2" s="1" t="s">
        <v>213</v>
      </c>
    </row>
    <row r="3" spans="1:11" x14ac:dyDescent="0.25">
      <c r="B3" s="1" t="s">
        <v>119</v>
      </c>
      <c r="C3">
        <f>SUM(G9:G10)</f>
        <v>2.8</v>
      </c>
      <c r="D3" t="s">
        <v>120</v>
      </c>
    </row>
    <row r="4" spans="1:11" x14ac:dyDescent="0.25">
      <c r="B4" s="1" t="s">
        <v>128</v>
      </c>
      <c r="C4">
        <f>SUM(INT((WEEKDAY(F4-{2,3,4,5,6})+H4-F4)/7))</f>
        <v>12</v>
      </c>
      <c r="D4" t="s">
        <v>120</v>
      </c>
      <c r="E4" t="s">
        <v>152</v>
      </c>
      <c r="F4" s="6">
        <v>43962</v>
      </c>
      <c r="G4" s="6" t="s">
        <v>118</v>
      </c>
      <c r="H4" s="6">
        <v>43977</v>
      </c>
    </row>
    <row r="5" spans="1:11" x14ac:dyDescent="0.25">
      <c r="B5" s="1" t="s">
        <v>129</v>
      </c>
      <c r="C5">
        <f>SUM(INT((WEEKDAY(F5-{2,3,4,5,6})+H5-F5)/7))</f>
        <v>12</v>
      </c>
      <c r="D5" t="s">
        <v>120</v>
      </c>
      <c r="E5" t="s">
        <v>216</v>
      </c>
      <c r="F5" s="6">
        <v>43962</v>
      </c>
      <c r="G5" s="6" t="s">
        <v>118</v>
      </c>
      <c r="H5" s="6">
        <v>43977</v>
      </c>
    </row>
    <row r="6" spans="1:11" x14ac:dyDescent="0.25">
      <c r="B6" s="1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</row>
    <row r="8" spans="1:11" ht="30" x14ac:dyDescent="0.25">
      <c r="C8" s="54" t="s">
        <v>25</v>
      </c>
      <c r="D8" s="54" t="s">
        <v>26</v>
      </c>
      <c r="E8" s="8" t="s">
        <v>121</v>
      </c>
      <c r="F8" s="8" t="s">
        <v>122</v>
      </c>
      <c r="G8" s="8" t="s">
        <v>123</v>
      </c>
      <c r="H8" s="8" t="s">
        <v>124</v>
      </c>
      <c r="I8" s="8" t="s">
        <v>29</v>
      </c>
      <c r="J8" s="132" t="str">
        <f>Table!$C$41</f>
        <v>OPL</v>
      </c>
      <c r="K8" s="132" t="str">
        <f>Table!$C$42</f>
        <v>Defect</v>
      </c>
    </row>
    <row r="9" spans="1:11" x14ac:dyDescent="0.25">
      <c r="C9" s="45">
        <v>1</v>
      </c>
      <c r="D9" s="39" t="str">
        <f>Table!$D$3</f>
        <v>PSW</v>
      </c>
      <c r="E9" s="39">
        <f>SUMIFS(Merged_JOEM!$W$60:$W$151,Merged_JOEM!$D$60:$D$151,D9, Merged_JOEM!$E$60:$E$151,C2)</f>
        <v>0</v>
      </c>
      <c r="F9" s="39">
        <f>SUMIFS(Merged_JOEM!$X$60:$X$151,Merged_JOEM!$D$60:$D$151,D9, Merged_JOEM!$E$60:$E$151,C2)-SUM(SUMIFS(Merged_JOEM!$X$60:$X$151,Merged_JOEM!$D$60:$D$151,D9,Merged_JOEM!$AA$60:$AA$151,{"Ongoing","N/A",""},Merged_JOEM!$E$60:$E$151,C2))</f>
        <v>0</v>
      </c>
      <c r="G9" s="39">
        <f>1/8*(SUMIFS(Merged_JOEM!$Y$60:$Y$151,Merged_JOEM!$D$60:$D$151,D9, Merged_JOEM!$E$60:$E$151,C2))</f>
        <v>0</v>
      </c>
      <c r="H9" s="39">
        <f>1/8*(SUMIFS(Merged_JOEM!$Z$60:$Z$151,Merged_JOEM!$D$60:$D$151,D9, Merged_JOEM!$E$60:$E$151,C2)-SUM(SUMIFS(Merged_JOEM!$Z$60:$Z$151,Merged_JOEM!$D$60:$D$151,D9,Merged_JOEM!$AA$60:$AA$151,{"Ongoing","N/A",""},Merged_JOEM!$E$60:$E$151,C2)))</f>
        <v>0</v>
      </c>
      <c r="I9" s="40" t="str">
        <f>IFERROR(F9/E9,"N/A")</f>
        <v>N/A</v>
      </c>
      <c r="J9" s="3">
        <f>COUNTIFS(Merged_JOEM!$AK$60:$AK$151,J8,Merged_JOEM!$D$60:$D$151,D9,Merged_JOEM!$E$60:$E$151,C2)</f>
        <v>0</v>
      </c>
      <c r="K9" s="3">
        <f>COUNTIFS(Merged_JOEM!$AK$60:$AK$151,K8,Merged_JOEM!$D$60:$D$151,D9,Merged_JOEM!$E$60:$E$151,C2)</f>
        <v>0</v>
      </c>
    </row>
    <row r="10" spans="1:11" x14ac:dyDescent="0.25">
      <c r="C10" s="45">
        <v>2</v>
      </c>
      <c r="D10" s="39" t="str">
        <f>Table!$C$3</f>
        <v>ASW</v>
      </c>
      <c r="E10" s="39">
        <f>SUMIFS(Merged_JOEM!$W$60:$W$151,Merged_JOEM!$D$60:$D$151,D10, Merged_JOEM!$E$60:$E$151,C2)</f>
        <v>364</v>
      </c>
      <c r="F10" s="39">
        <f>SUMIFS(Merged_JOEM!$X$60:$X$151,Merged_JOEM!$D$60:$D$151,D10, Merged_JOEM!$E$60:$E$151,C2)-SUM(SUMIFS(Merged_JOEM!$X$60:$X$151,Merged_JOEM!$D$60:$D$151,D10,Merged_JOEM!$AA$60:$AA$151,{"Ongoing","N/A",""},Merged_JOEM!$E$60:$E$151,C2))</f>
        <v>364</v>
      </c>
      <c r="G10" s="39">
        <f>1/8*(SUMIFS(Merged_JOEM!$Y$60:$Y$151,Merged_JOEM!$D$60:$D$151,D10, Merged_JOEM!$E$60:$E$151,C2))</f>
        <v>2.8</v>
      </c>
      <c r="H10" s="39">
        <f>1/8*(SUMIFS(Merged_JOEM!$Z$60:$Z$151,Merged_JOEM!$D$60:$D$151,D10, Merged_JOEM!$E$60:$E$151,C2)-SUM(SUMIFS(Merged_JOEM!$Z$60:$Z$151,Merged_JOEM!$D$60:$D$151,D10,Merged_JOEM!$AA$60:$AA$151,{"Ongoing","N/A",""},Merged_JOEM!$E$60:$E$151,C2)))</f>
        <v>2.5</v>
      </c>
      <c r="I10" s="40">
        <f>IFERROR(F10/E10,"N/A")</f>
        <v>1</v>
      </c>
      <c r="J10" s="3">
        <f>COUNTIFS(Merged_JOEM!$AK$60:$AK$151,J8,Merged_JOEM!$D$60:$D$151,D10,Merged_JOEM!$E$60:$E$151,C2)</f>
        <v>0</v>
      </c>
      <c r="K10" s="3">
        <f>COUNTIFS(Merged_JOEM!$AK$60:$AK$151,K8,Merged_JOEM!$D$60:$D$151,D10,Merged_JOEM!$E$60:$E$151,C2)</f>
        <v>0</v>
      </c>
    </row>
    <row r="12" spans="1:11" x14ac:dyDescent="0.25">
      <c r="C12" t="s">
        <v>126</v>
      </c>
    </row>
    <row r="13" spans="1:11" x14ac:dyDescent="0.25">
      <c r="D13" s="35" t="s">
        <v>339</v>
      </c>
    </row>
    <row r="14" spans="1:11" x14ac:dyDescent="0.25">
      <c r="D14" s="35" t="s">
        <v>340</v>
      </c>
    </row>
    <row r="16" spans="1:11" x14ac:dyDescent="0.25">
      <c r="A16" s="1">
        <v>2</v>
      </c>
      <c r="B16" s="1" t="s">
        <v>56</v>
      </c>
      <c r="C16" s="1" t="s">
        <v>682</v>
      </c>
    </row>
    <row r="17" spans="2:11" x14ac:dyDescent="0.25">
      <c r="B17" s="1" t="s">
        <v>119</v>
      </c>
      <c r="C17">
        <f>SUM(G23:G24)</f>
        <v>20.399999999999988</v>
      </c>
      <c r="D17" t="s">
        <v>120</v>
      </c>
    </row>
    <row r="18" spans="2:11" x14ac:dyDescent="0.25">
      <c r="B18" s="1" t="s">
        <v>128</v>
      </c>
      <c r="C18">
        <f>SUM(INT((WEEKDAY(F18-{2,3,4,5,6})+H18-F18)/7))</f>
        <v>5</v>
      </c>
      <c r="D18" t="s">
        <v>120</v>
      </c>
      <c r="E18" t="s">
        <v>152</v>
      </c>
      <c r="F18" s="6">
        <v>43976</v>
      </c>
      <c r="G18" s="6" t="s">
        <v>118</v>
      </c>
      <c r="H18" s="6">
        <v>43980</v>
      </c>
    </row>
    <row r="19" spans="2:11" x14ac:dyDescent="0.25">
      <c r="B19" s="1" t="s">
        <v>129</v>
      </c>
      <c r="C19">
        <f>SUM(INT((WEEKDAY(F19-{2,3,4,5,6})+H19-F19)/7))</f>
        <v>5</v>
      </c>
      <c r="D19" t="s">
        <v>120</v>
      </c>
      <c r="E19" t="s">
        <v>216</v>
      </c>
      <c r="F19" s="6">
        <v>43976</v>
      </c>
      <c r="G19" s="6" t="s">
        <v>118</v>
      </c>
      <c r="H19" s="6">
        <v>43980</v>
      </c>
    </row>
    <row r="20" spans="2:11" x14ac:dyDescent="0.25">
      <c r="B20" s="1" t="s">
        <v>17</v>
      </c>
      <c r="C20" t="str">
        <f>IF(SUM(H23:H24)&gt;SUM(G23:G24),"Delayed",IF(SUM(H23:H24)&lt;SUM(G23:G24),"InAdvanced","Ontime"))</f>
        <v>InAdvanced</v>
      </c>
      <c r="F20" s="6"/>
      <c r="G20" s="6"/>
      <c r="H20" s="6"/>
    </row>
    <row r="22" spans="2:11" ht="30" x14ac:dyDescent="0.25">
      <c r="C22" s="54" t="s">
        <v>25</v>
      </c>
      <c r="D22" s="54" t="s">
        <v>26</v>
      </c>
      <c r="E22" s="8" t="s">
        <v>121</v>
      </c>
      <c r="F22" s="8" t="s">
        <v>122</v>
      </c>
      <c r="G22" s="8" t="s">
        <v>123</v>
      </c>
      <c r="H22" s="8" t="s">
        <v>124</v>
      </c>
      <c r="I22" s="8" t="s">
        <v>29</v>
      </c>
      <c r="J22" s="132" t="str">
        <f>Table!$C$41</f>
        <v>OPL</v>
      </c>
      <c r="K22" s="132" t="str">
        <f>Table!$C$42</f>
        <v>Defect</v>
      </c>
    </row>
    <row r="23" spans="2:11" x14ac:dyDescent="0.25">
      <c r="C23" s="45">
        <v>1</v>
      </c>
      <c r="D23" s="39" t="str">
        <f>Table!$D$3</f>
        <v>PSW</v>
      </c>
      <c r="E23" s="39">
        <f>SUMIFS(Merged_JOEM!$W$60:$W$151,Merged_JOEM!$D$60:$D$151,D23, Merged_JOEM!$E$60:$E$151,C16)</f>
        <v>9180</v>
      </c>
      <c r="F23" s="39">
        <f>SUMIFS(Merged_JOEM!$X$60:$X$151,Merged_JOEM!$D$60:$D$151,D23, Merged_JOEM!$E$60:$E$151,C16)-SUM(SUMIFS(Merged_JOEM!$X$60:$X$151,Merged_JOEM!$D$60:$D$151,D23,Merged_JOEM!$AA$60:$AA$151,{"Ongoing","N/A",""},Merged_JOEM!$E$60:$E$151,C16))</f>
        <v>1845</v>
      </c>
      <c r="G23" s="39">
        <f>1/8*(SUMIFS(Merged_JOEM!$Y$60:$Y$151,Merged_JOEM!$D$60:$D$151,D23, Merged_JOEM!$E$60:$E$151,C16))</f>
        <v>20.399999999999988</v>
      </c>
      <c r="H23" s="39">
        <f>1/8*(SUMIFS(Merged_JOEM!$Z$60:$Z$151,Merged_JOEM!$D$60:$D$151,D23, Merged_JOEM!$E$60:$E$151,C16)-SUM(SUMIFS(Merged_JOEM!$Z$60:$Z$151,Merged_JOEM!$D$60:$D$151,D23,Merged_JOEM!$AA$60:$AA$151,{"Ongoing","N/A",""},Merged_JOEM!$E$60:$E$151,C16)))</f>
        <v>3.125</v>
      </c>
      <c r="I23" s="40">
        <f>IFERROR(F23/E23,"N/A")</f>
        <v>0.20098039215686275</v>
      </c>
      <c r="J23" s="3">
        <f>COUNTIFS(Merged_JOEM!$AK$60:$AK$151,J22,Merged_JOEM!$D$60:$D$151,D23,Merged_JOEM!$E$60:$E$151,C16)</f>
        <v>0</v>
      </c>
      <c r="K23" s="3">
        <f>COUNTIFS(Merged_JOEM!$AK$60:$AK$151,K22,Merged_JOEM!$D$60:$D$151,D23,Merged_JOEM!$E$60:$E$151,C16)</f>
        <v>0</v>
      </c>
    </row>
    <row r="24" spans="2:11" x14ac:dyDescent="0.25">
      <c r="C24" s="45">
        <v>2</v>
      </c>
      <c r="D24" s="39" t="str">
        <f>Table!$C$3</f>
        <v>ASW</v>
      </c>
      <c r="E24" s="39">
        <f>SUMIFS(Merged_JOEM!$W$60:$W$151,Merged_JOEM!$D$60:$D$151,D24, Merged_JOEM!$E$60:$E$151,C16)</f>
        <v>0</v>
      </c>
      <c r="F24" s="39">
        <f>SUMIFS(Merged_JOEM!$X$60:$X$151,Merged_JOEM!$D$60:$D$151,D24, Merged_JOEM!$E$60:$E$151,C16)-SUM(SUMIFS(Merged_JOEM!$X$60:$X$151,Merged_JOEM!$D$60:$D$151,D24,Merged_JOEM!$AA$60:$AA$151,{"Ongoing","N/A",""},Merged_JOEM!$E$60:$E$151,C16))</f>
        <v>0</v>
      </c>
      <c r="G24" s="39">
        <f>1/8*(SUMIFS(Merged_JOEM!$Y$60:$Y$151,Merged_JOEM!$D$60:$D$151,D24, Merged_JOEM!$E$60:$E$151,C16))</f>
        <v>0</v>
      </c>
      <c r="H24" s="39">
        <f>1/8*(SUMIFS(Merged_JOEM!$Z$60:$Z$151,Merged_JOEM!$D$60:$D$151,D24, Merged_JOEM!$E$60:$E$151,C16)-SUM(SUMIFS(Merged_JOEM!$Z$60:$Z$151,Merged_JOEM!$D$60:$D$151,D24,Merged_JOEM!$AA$60:$AA$151,{"Ongoing","N/A",""},Merged_JOEM!$E$60:$E$151,C16)))</f>
        <v>0</v>
      </c>
      <c r="I24" s="40" t="str">
        <f>IFERROR(F24/E24,"N/A")</f>
        <v>N/A</v>
      </c>
      <c r="J24" s="3">
        <f>COUNTIFS(Merged_JOEM!$AK$60:$AK$151,J22,Merged_JOEM!$D$60:$D$151,D24,Merged_JOEM!$E$60:$E$151,C16)</f>
        <v>0</v>
      </c>
      <c r="K24" s="3">
        <f>COUNTIFS(Merged_JOEM!$AK$60:$AK$151,K22,Merged_JOEM!$D$60:$D$151,D24,Merged_JOEM!$E$60:$E$151,C16)</f>
        <v>0</v>
      </c>
    </row>
    <row r="26" spans="2:11" x14ac:dyDescent="0.25">
      <c r="C26" t="s">
        <v>126</v>
      </c>
    </row>
    <row r="27" spans="2:11" x14ac:dyDescent="0.25">
      <c r="D27" s="35" t="s">
        <v>859</v>
      </c>
    </row>
    <row r="28" spans="2:11" x14ac:dyDescent="0.25">
      <c r="D28" s="35" t="s">
        <v>860</v>
      </c>
    </row>
  </sheetData>
  <customSheetViews>
    <customSheetView guid="{3B3E6719-EACB-4D2C-89C1-05FFAB6020FD}">
      <selection activeCell="A29" sqref="A29:XFD29"/>
      <pageMargins left="0.7" right="0.7" top="0.75" bottom="0.75" header="0.3" footer="0.3"/>
    </customSheetView>
    <customSheetView guid="{D33AC7AF-C8AB-4CE9-94C7-9237011A5FC3}">
      <selection activeCell="K38" sqref="K38"/>
      <pageMargins left="0.7" right="0.7" top="0.75" bottom="0.75" header="0.3" footer="0.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A2C66332-A809-458E-971B-FDB6D62C74C3}">
      <selection activeCell="F10" sqref="F10"/>
      <pageMargins left="0.7" right="0.7" top="0.75" bottom="0.75" header="0.3" footer="0.3"/>
    </customSheetView>
    <customSheetView guid="{60D2C030-4E31-4E07-8E1C-44D2EE84B177}">
      <selection activeCell="E9" sqref="E9"/>
      <pageMargins left="0.7" right="0.7" top="0.75" bottom="0.75" header="0.3" footer="0.3"/>
    </customSheetView>
    <customSheetView guid="{7ECC2B8E-6A82-42F5-8AB0-4A51C54EA5EC}">
      <selection activeCell="N1" sqref="N1:N1048576"/>
      <pageMargins left="0.7" right="0.7" top="0.75" bottom="0.75" header="0.3" footer="0.3"/>
    </customSheetView>
    <customSheetView guid="{7E0EA425-A420-4443-B9E0-CDF0AA9E5D09}">
      <selection activeCell="C2" sqref="C2"/>
      <pageMargins left="0.7" right="0.7" top="0.75" bottom="0.75" header="0.3" footer="0.3"/>
    </customSheetView>
    <customSheetView guid="{4E06BDBF-2CED-473B-850B-2A6C7311FF41}">
      <selection activeCell="F17" sqref="F17"/>
      <pageMargins left="0.7" right="0.7" top="0.75" bottom="0.75" header="0.3" footer="0.3"/>
      <pageSetup paperSize="9" orientation="portrait" r:id="rId1"/>
    </customSheetView>
    <customSheetView guid="{C94451EF-7A3E-4D72-B5A4-3D1B193192CC}">
      <selection activeCell="F10" sqref="F10"/>
      <pageMargins left="0.7" right="0.7" top="0.75" bottom="0.75" header="0.3" footer="0.3"/>
    </customSheetView>
    <customSheetView guid="{970EE037-F5E5-47AF-896A-0F6222879EBC}" topLeftCell="A13">
      <selection activeCell="D29" sqref="D2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12"/>
  <sheetViews>
    <sheetView topLeftCell="A73" zoomScale="85" zoomScaleNormal="85" workbookViewId="0">
      <selection activeCell="A87" sqref="A87:XFD87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12" x14ac:dyDescent="0.25">
      <c r="B2" s="68" t="s">
        <v>107</v>
      </c>
    </row>
    <row r="3" spans="2:12" x14ac:dyDescent="0.25">
      <c r="B3" s="61" t="s">
        <v>0</v>
      </c>
      <c r="C3" s="61" t="s">
        <v>8</v>
      </c>
      <c r="D3" s="61" t="s">
        <v>125</v>
      </c>
      <c r="E3" s="61" t="s">
        <v>53</v>
      </c>
      <c r="F3" s="61" t="s">
        <v>99</v>
      </c>
      <c r="G3" s="61" t="s">
        <v>22</v>
      </c>
      <c r="H3" s="62" t="s">
        <v>24</v>
      </c>
      <c r="I3" s="62" t="s">
        <v>140</v>
      </c>
      <c r="J3" s="62" t="s">
        <v>150</v>
      </c>
    </row>
    <row r="4" spans="2:12" x14ac:dyDescent="0.25">
      <c r="B4" s="63">
        <v>1</v>
      </c>
      <c r="C4" s="77" t="s">
        <v>6</v>
      </c>
      <c r="D4" s="65">
        <f>SUM(Merged_COEM!D42,Merged_JOEM!D42)</f>
        <v>4265</v>
      </c>
      <c r="E4" s="65">
        <f>SUM(Merged_COEM!E42,Merged_JOEM!E42)</f>
        <v>1552</v>
      </c>
      <c r="F4" s="65">
        <f ca="1">$B$26-SUM(VALUE(SUBSTITUTE(E76,"-",0)),VALUE(SUBSTITUTE(O76,"-",0)))</f>
        <v>6</v>
      </c>
      <c r="G4" s="65">
        <f t="shared" ref="G4" ca="1" si="0">IF(ISERROR(E4/(F4)),"N/A",E4/F4)</f>
        <v>258.66666666666669</v>
      </c>
      <c r="H4" s="66">
        <f t="shared" ref="H4:H18" si="1">IF(ISERROR(E4/D4),"N/A",E4/D4)</f>
        <v>0.36389214536928488</v>
      </c>
      <c r="I4" s="3">
        <f>SUM(Merged_COEM!I42,Merged_JOEM!I42)</f>
        <v>1</v>
      </c>
      <c r="J4" s="3">
        <f>SUM(Merged_COEM!J42,Merged_JOEM!J42)</f>
        <v>0</v>
      </c>
      <c r="K4">
        <f ca="1">RANK(G4,$G$4:$G$17)</f>
        <v>9</v>
      </c>
    </row>
    <row r="5" spans="2:12" x14ac:dyDescent="0.25">
      <c r="B5" s="63">
        <v>2</v>
      </c>
      <c r="C5" s="77" t="s">
        <v>64</v>
      </c>
      <c r="D5" s="65">
        <f>SUM(Merged_COEM!D43,Merged_JOEM!D43)</f>
        <v>2653.9230769230771</v>
      </c>
      <c r="E5" s="65">
        <f>SUM(Merged_COEM!E43,Merged_JOEM!E43)</f>
        <v>2337.5384615384614</v>
      </c>
      <c r="F5" s="65">
        <f t="shared" ref="F5:F17" ca="1" si="2">$B$26-SUM(VALUE(SUBSTITUTE(E77,"-",0)),VALUE(SUBSTITUTE(O77,"-",0)))</f>
        <v>6</v>
      </c>
      <c r="G5" s="65">
        <f t="shared" ref="G5:G17" ca="1" si="3">IF(ISERROR(E5/(F5)),"N/A",E5/F5)</f>
        <v>389.58974358974359</v>
      </c>
      <c r="H5" s="66">
        <f t="shared" ref="H5:H17" si="4">IF(ISERROR(E5/D5),"N/A",E5/D5)</f>
        <v>0.88078606417205285</v>
      </c>
      <c r="I5" s="3">
        <f>SUM(Merged_COEM!I43,Merged_JOEM!I43)</f>
        <v>1</v>
      </c>
      <c r="J5" s="3">
        <f>SUM(Merged_COEM!J43,Merged_JOEM!J43)</f>
        <v>0</v>
      </c>
      <c r="K5">
        <f t="shared" ref="K5:K17" ca="1" si="5">RANK(G5,$G$4:$G$17)</f>
        <v>8</v>
      </c>
    </row>
    <row r="6" spans="2:12" x14ac:dyDescent="0.25">
      <c r="B6" s="63">
        <v>3</v>
      </c>
      <c r="C6" s="77" t="s">
        <v>65</v>
      </c>
      <c r="D6" s="65">
        <f>SUM(Merged_COEM!D44,Merged_JOEM!D44)</f>
        <v>4751</v>
      </c>
      <c r="E6" s="65">
        <f>SUM(Merged_COEM!E44,Merged_JOEM!E44)</f>
        <v>4002</v>
      </c>
      <c r="F6" s="65">
        <f t="shared" ca="1" si="2"/>
        <v>6</v>
      </c>
      <c r="G6" s="65">
        <f t="shared" ca="1" si="3"/>
        <v>667</v>
      </c>
      <c r="H6" s="66">
        <f t="shared" si="4"/>
        <v>0.84234897916228157</v>
      </c>
      <c r="I6" s="3">
        <f>SUM(Merged_COEM!I44,Merged_JOEM!I44)</f>
        <v>2</v>
      </c>
      <c r="J6" s="3">
        <f>SUM(Merged_COEM!J44,Merged_JOEM!J44)</f>
        <v>0</v>
      </c>
      <c r="K6">
        <f t="shared" ca="1" si="5"/>
        <v>6</v>
      </c>
    </row>
    <row r="7" spans="2:12" x14ac:dyDescent="0.25">
      <c r="B7" s="63">
        <v>4</v>
      </c>
      <c r="C7" s="77" t="s">
        <v>66</v>
      </c>
      <c r="D7" s="65">
        <f>SUM(Merged_COEM!D45,Merged_JOEM!D45)</f>
        <v>945</v>
      </c>
      <c r="E7" s="65">
        <f>SUM(Merged_COEM!E45,Merged_JOEM!E45)</f>
        <v>945</v>
      </c>
      <c r="F7" s="65">
        <f t="shared" ca="1" si="2"/>
        <v>6</v>
      </c>
      <c r="G7" s="65">
        <f t="shared" ca="1" si="3"/>
        <v>157.5</v>
      </c>
      <c r="H7" s="66">
        <f t="shared" si="4"/>
        <v>1</v>
      </c>
      <c r="I7" s="3">
        <f>SUM(Merged_COEM!I45,Merged_JOEM!I45)</f>
        <v>0</v>
      </c>
      <c r="J7" s="3">
        <f>SUM(Merged_COEM!J45,Merged_JOEM!J45)</f>
        <v>0</v>
      </c>
      <c r="K7">
        <f t="shared" ca="1" si="5"/>
        <v>10</v>
      </c>
    </row>
    <row r="8" spans="2:12" x14ac:dyDescent="0.25">
      <c r="B8" s="63">
        <v>5</v>
      </c>
      <c r="C8" s="77" t="s">
        <v>67</v>
      </c>
      <c r="D8" s="65">
        <f>SUM(Merged_COEM!D46,Merged_JOEM!D46)</f>
        <v>7708.8461538461543</v>
      </c>
      <c r="E8" s="65">
        <f>SUM(Merged_COEM!E46,Merged_JOEM!E46)</f>
        <v>5966.6153846153848</v>
      </c>
      <c r="F8" s="65">
        <f t="shared" ca="1" si="2"/>
        <v>6</v>
      </c>
      <c r="G8" s="65">
        <f t="shared" ca="1" si="3"/>
        <v>994.43589743589746</v>
      </c>
      <c r="H8" s="66">
        <f t="shared" si="4"/>
        <v>0.77399590879608837</v>
      </c>
      <c r="I8" s="3">
        <f>SUM(Merged_COEM!I46,Merged_JOEM!I46)</f>
        <v>3</v>
      </c>
      <c r="J8" s="3">
        <f>SUM(Merged_COEM!J46,Merged_JOEM!J46)</f>
        <v>0</v>
      </c>
      <c r="K8">
        <f t="shared" ca="1" si="5"/>
        <v>2</v>
      </c>
    </row>
    <row r="9" spans="2:12" x14ac:dyDescent="0.25">
      <c r="B9" s="63">
        <v>6</v>
      </c>
      <c r="C9" s="77" t="s">
        <v>68</v>
      </c>
      <c r="D9" s="65">
        <f>SUM(Merged_COEM!D47,Merged_JOEM!D47)</f>
        <v>5586</v>
      </c>
      <c r="E9" s="65">
        <f>SUM(Merged_COEM!E47,Merged_JOEM!E47)</f>
        <v>5043</v>
      </c>
      <c r="F9" s="65">
        <f t="shared" ca="1" si="2"/>
        <v>6</v>
      </c>
      <c r="G9" s="65">
        <f t="shared" ca="1" si="3"/>
        <v>840.5</v>
      </c>
      <c r="H9" s="66">
        <f t="shared" si="4"/>
        <v>0.90279269602577872</v>
      </c>
      <c r="I9" s="3">
        <f>SUM(Merged_COEM!I47,Merged_JOEM!I47)</f>
        <v>2</v>
      </c>
      <c r="J9" s="3">
        <f>SUM(Merged_COEM!J47,Merged_JOEM!J47)</f>
        <v>0</v>
      </c>
      <c r="K9">
        <f t="shared" ca="1" si="5"/>
        <v>4</v>
      </c>
    </row>
    <row r="10" spans="2:12" x14ac:dyDescent="0.25">
      <c r="B10" s="63">
        <v>7</v>
      </c>
      <c r="C10" s="77" t="s">
        <v>69</v>
      </c>
      <c r="D10" s="65">
        <f>SUM(Merged_COEM!D48,Merged_JOEM!D48)</f>
        <v>6585.9230769230771</v>
      </c>
      <c r="E10" s="65">
        <f>SUM(Merged_COEM!E48,Merged_JOEM!E48)</f>
        <v>5873.6153846153848</v>
      </c>
      <c r="F10" s="65">
        <f t="shared" ca="1" si="2"/>
        <v>6</v>
      </c>
      <c r="G10" s="65">
        <f t="shared" ca="1" si="3"/>
        <v>978.93589743589746</v>
      </c>
      <c r="H10" s="66">
        <f t="shared" si="4"/>
        <v>0.89184390950395365</v>
      </c>
      <c r="I10" s="3">
        <f>SUM(Merged_COEM!I48,Merged_JOEM!I48)</f>
        <v>4</v>
      </c>
      <c r="J10" s="3">
        <f>SUM(Merged_COEM!J48,Merged_JOEM!J48)</f>
        <v>0</v>
      </c>
      <c r="K10">
        <f t="shared" ca="1" si="5"/>
        <v>3</v>
      </c>
    </row>
    <row r="11" spans="2:12" x14ac:dyDescent="0.25">
      <c r="B11" s="63">
        <v>8</v>
      </c>
      <c r="C11" s="77" t="s">
        <v>70</v>
      </c>
      <c r="D11" s="65">
        <f>SUM(Merged_COEM!D49,Merged_JOEM!D49)</f>
        <v>5283</v>
      </c>
      <c r="E11" s="65">
        <f>SUM(Merged_COEM!E49,Merged_JOEM!E49)</f>
        <v>5283</v>
      </c>
      <c r="F11" s="65">
        <f t="shared" ca="1" si="2"/>
        <v>4</v>
      </c>
      <c r="G11" s="65">
        <f t="shared" ca="1" si="3"/>
        <v>1320.75</v>
      </c>
      <c r="H11" s="66">
        <f t="shared" si="4"/>
        <v>1</v>
      </c>
      <c r="I11" s="3">
        <f>SUM(Merged_COEM!I49,Merged_JOEM!I49)</f>
        <v>4</v>
      </c>
      <c r="J11" s="3">
        <f>SUM(Merged_COEM!J49,Merged_JOEM!J49)</f>
        <v>0</v>
      </c>
      <c r="K11">
        <f t="shared" ca="1" si="5"/>
        <v>1</v>
      </c>
    </row>
    <row r="12" spans="2:12" x14ac:dyDescent="0.25">
      <c r="B12" s="63">
        <v>9</v>
      </c>
      <c r="C12" s="77" t="s">
        <v>142</v>
      </c>
      <c r="D12" s="65">
        <f>SUM(Merged_COEM!D50,Merged_JOEM!D50)</f>
        <v>6916.5</v>
      </c>
      <c r="E12" s="65">
        <f>SUM(Merged_COEM!E50,Merged_JOEM!E50)</f>
        <v>2160</v>
      </c>
      <c r="F12" s="65">
        <f t="shared" ca="1" si="2"/>
        <v>5</v>
      </c>
      <c r="G12" s="65">
        <f t="shared" ca="1" si="3"/>
        <v>432</v>
      </c>
      <c r="H12" s="66">
        <f t="shared" si="4"/>
        <v>0.31229668184775539</v>
      </c>
      <c r="I12" s="3">
        <f>SUM(Merged_COEM!I50,Merged_JOEM!I50)</f>
        <v>0</v>
      </c>
      <c r="J12" s="3">
        <f>SUM(Merged_COEM!J50,Merged_JOEM!J50)</f>
        <v>0</v>
      </c>
      <c r="K12">
        <f t="shared" ca="1" si="5"/>
        <v>7</v>
      </c>
    </row>
    <row r="13" spans="2:12" x14ac:dyDescent="0.25">
      <c r="B13" s="63">
        <v>10</v>
      </c>
      <c r="C13" s="77" t="s">
        <v>143</v>
      </c>
      <c r="D13" s="65">
        <f>SUM(Merged_COEM!D51,Merged_JOEM!D51)</f>
        <v>4584</v>
      </c>
      <c r="E13" s="65">
        <f>SUM(Merged_COEM!E51,Merged_JOEM!E51)</f>
        <v>4584</v>
      </c>
      <c r="F13" s="65">
        <f t="shared" ca="1" si="2"/>
        <v>6</v>
      </c>
      <c r="G13" s="65">
        <f t="shared" ca="1" si="3"/>
        <v>764</v>
      </c>
      <c r="H13" s="66">
        <f t="shared" si="4"/>
        <v>1</v>
      </c>
      <c r="I13" s="3">
        <f>SUM(Merged_COEM!I51,Merged_JOEM!I51)</f>
        <v>2</v>
      </c>
      <c r="J13" s="3">
        <f>SUM(Merged_COEM!J51,Merged_JOEM!J51)</f>
        <v>0</v>
      </c>
      <c r="K13">
        <f t="shared" ca="1" si="5"/>
        <v>5</v>
      </c>
    </row>
    <row r="14" spans="2:12" x14ac:dyDescent="0.25">
      <c r="B14" s="63">
        <v>11</v>
      </c>
      <c r="C14" s="77" t="s">
        <v>760</v>
      </c>
      <c r="D14" s="65">
        <f>SUM(Merged_COEM!D52,Merged_JOEM!D52)</f>
        <v>2578.5</v>
      </c>
      <c r="E14" s="65">
        <f>SUM(Merged_COEM!E52,Merged_JOEM!E52)</f>
        <v>0</v>
      </c>
      <c r="F14" s="65">
        <f t="shared" ca="1" si="2"/>
        <v>6</v>
      </c>
      <c r="G14" s="65">
        <f t="shared" ca="1" si="3"/>
        <v>0</v>
      </c>
      <c r="H14" s="66">
        <f t="shared" si="4"/>
        <v>0</v>
      </c>
      <c r="I14" s="3">
        <f>SUM(Merged_COEM!I52,Merged_JOEM!I52)</f>
        <v>0</v>
      </c>
      <c r="J14" s="3">
        <f>SUM(Merged_COEM!J52,Merged_JOEM!J52)</f>
        <v>0</v>
      </c>
      <c r="K14">
        <f t="shared" ca="1" si="5"/>
        <v>11</v>
      </c>
      <c r="L14" s="172" t="s">
        <v>864</v>
      </c>
    </row>
    <row r="15" spans="2:12" x14ac:dyDescent="0.25">
      <c r="B15" s="63">
        <v>12</v>
      </c>
      <c r="C15" s="77" t="s">
        <v>761</v>
      </c>
      <c r="D15" s="65">
        <f>SUM(Merged_COEM!D53,Merged_JOEM!D53)</f>
        <v>0</v>
      </c>
      <c r="E15" s="65">
        <f>SUM(Merged_COEM!E53,Merged_JOEM!E53)</f>
        <v>0</v>
      </c>
      <c r="F15" s="65">
        <f t="shared" ca="1" si="2"/>
        <v>6</v>
      </c>
      <c r="G15" s="65">
        <f t="shared" ca="1" si="3"/>
        <v>0</v>
      </c>
      <c r="H15" s="66" t="str">
        <f t="shared" si="4"/>
        <v>N/A</v>
      </c>
      <c r="I15" s="3">
        <f>SUM(Merged_COEM!I53,Merged_JOEM!I53)</f>
        <v>0</v>
      </c>
      <c r="J15" s="3">
        <f>SUM(Merged_COEM!J53,Merged_JOEM!J53)</f>
        <v>0</v>
      </c>
      <c r="K15">
        <f t="shared" ca="1" si="5"/>
        <v>11</v>
      </c>
      <c r="L15" s="172" t="s">
        <v>765</v>
      </c>
    </row>
    <row r="16" spans="2:12" x14ac:dyDescent="0.25">
      <c r="B16" s="63">
        <v>13</v>
      </c>
      <c r="C16" s="77" t="s">
        <v>762</v>
      </c>
      <c r="D16" s="65">
        <f>SUM(Merged_COEM!D54,Merged_JOEM!D54)</f>
        <v>0</v>
      </c>
      <c r="E16" s="65">
        <f>SUM(Merged_COEM!E54,Merged_JOEM!E54)</f>
        <v>0</v>
      </c>
      <c r="F16" s="65">
        <f t="shared" ca="1" si="2"/>
        <v>6</v>
      </c>
      <c r="G16" s="65">
        <f t="shared" ca="1" si="3"/>
        <v>0</v>
      </c>
      <c r="H16" s="66" t="str">
        <f t="shared" si="4"/>
        <v>N/A</v>
      </c>
      <c r="I16" s="3">
        <f>SUM(Merged_COEM!I54,Merged_JOEM!I54)</f>
        <v>0</v>
      </c>
      <c r="J16" s="3">
        <f>SUM(Merged_COEM!J54,Merged_JOEM!J54)</f>
        <v>0</v>
      </c>
      <c r="K16">
        <f t="shared" ca="1" si="5"/>
        <v>11</v>
      </c>
      <c r="L16" s="172" t="s">
        <v>765</v>
      </c>
    </row>
    <row r="17" spans="1:18" x14ac:dyDescent="0.25">
      <c r="B17" s="63">
        <v>14</v>
      </c>
      <c r="C17" s="77" t="s">
        <v>763</v>
      </c>
      <c r="D17" s="65">
        <f>SUM(Merged_COEM!D55,Merged_JOEM!D55)</f>
        <v>0</v>
      </c>
      <c r="E17" s="65">
        <f>SUM(Merged_COEM!E55,Merged_JOEM!E55)</f>
        <v>0</v>
      </c>
      <c r="F17" s="65">
        <f t="shared" ca="1" si="2"/>
        <v>6</v>
      </c>
      <c r="G17" s="65">
        <f t="shared" ca="1" si="3"/>
        <v>0</v>
      </c>
      <c r="H17" s="66" t="str">
        <f t="shared" si="4"/>
        <v>N/A</v>
      </c>
      <c r="I17" s="3">
        <f>SUM(Merged_COEM!I55,Merged_JOEM!I55)</f>
        <v>0</v>
      </c>
      <c r="J17" s="3">
        <f>SUM(Merged_COEM!J55,Merged_JOEM!J55)</f>
        <v>0</v>
      </c>
      <c r="K17">
        <f t="shared" ca="1" si="5"/>
        <v>11</v>
      </c>
      <c r="L17" s="172" t="s">
        <v>765</v>
      </c>
    </row>
    <row r="18" spans="1:18" x14ac:dyDescent="0.25">
      <c r="A18" s="173" t="s">
        <v>766</v>
      </c>
      <c r="B18" s="61" t="s">
        <v>106</v>
      </c>
      <c r="C18" s="67"/>
      <c r="D18" s="65">
        <f>SUM(D4:D17)</f>
        <v>51857.692307692312</v>
      </c>
      <c r="E18" s="65">
        <f>SUM(E4:E17)</f>
        <v>37746.769230769227</v>
      </c>
      <c r="F18" s="65">
        <f ca="1">$B$26*COUNTA($C$4:$C$17)-COUNTA($C$14:$C$17)</f>
        <v>80</v>
      </c>
      <c r="G18" s="65">
        <f ca="1">IF(ISERROR(E18/(F18)),"N/A",E18/F18)</f>
        <v>471.83461538461535</v>
      </c>
      <c r="H18" s="66">
        <f t="shared" si="1"/>
        <v>0.72789141882370378</v>
      </c>
      <c r="I18" s="3">
        <f>SUM(I4:I17)</f>
        <v>19</v>
      </c>
      <c r="J18" s="3">
        <f>SUM(J4:J17)</f>
        <v>0</v>
      </c>
      <c r="K18">
        <f ca="1">F18*450</f>
        <v>36000</v>
      </c>
      <c r="L18" s="88">
        <f ca="1">E18-K18</f>
        <v>1746.7692307692269</v>
      </c>
      <c r="M18">
        <f>COUNTA($C$4:$C$17)*450</f>
        <v>6300</v>
      </c>
      <c r="N18">
        <f ca="1">L18/450</f>
        <v>3.8817094017093932</v>
      </c>
    </row>
    <row r="21" spans="1:18" x14ac:dyDescent="0.25">
      <c r="A21" s="75" t="s">
        <v>179</v>
      </c>
      <c r="B21" s="75" t="s">
        <v>164</v>
      </c>
      <c r="J21" s="76"/>
      <c r="K21" s="75" t="s">
        <v>179</v>
      </c>
      <c r="L21" s="75" t="s">
        <v>163</v>
      </c>
    </row>
    <row r="22" spans="1:18" x14ac:dyDescent="0.25">
      <c r="J22" s="76"/>
    </row>
    <row r="23" spans="1:18" x14ac:dyDescent="0.25">
      <c r="A23" s="1" t="s">
        <v>38</v>
      </c>
      <c r="B23" s="34">
        <v>43972</v>
      </c>
      <c r="D23" s="34">
        <f ca="1">TODAY()</f>
        <v>43979</v>
      </c>
      <c r="F23" s="6"/>
      <c r="J23" s="76"/>
      <c r="K23" s="1" t="s">
        <v>38</v>
      </c>
      <c r="L23" s="34">
        <f>B23</f>
        <v>43972</v>
      </c>
      <c r="N23" s="34">
        <f ca="1">D23</f>
        <v>43979</v>
      </c>
      <c r="P23" s="6"/>
    </row>
    <row r="24" spans="1:18" x14ac:dyDescent="0.25">
      <c r="A24" s="1" t="s">
        <v>30</v>
      </c>
      <c r="B24" s="7">
        <f ca="1">SUM(INT((WEEKDAY(B23-{2,3,4,5,6}) +D23-B23)/7))</f>
        <v>6</v>
      </c>
      <c r="J24" s="76"/>
      <c r="K24" s="1" t="s">
        <v>30</v>
      </c>
      <c r="L24" s="7">
        <f ca="1">B24</f>
        <v>6</v>
      </c>
    </row>
    <row r="25" spans="1:18" x14ac:dyDescent="0.25">
      <c r="A25" s="1" t="s">
        <v>137</v>
      </c>
      <c r="B25" s="7">
        <v>0</v>
      </c>
      <c r="J25" s="76"/>
      <c r="K25" s="1" t="s">
        <v>137</v>
      </c>
      <c r="L25" s="7">
        <f>B25</f>
        <v>0</v>
      </c>
    </row>
    <row r="26" spans="1:18" x14ac:dyDescent="0.25">
      <c r="A26" s="1" t="s">
        <v>108</v>
      </c>
      <c r="B26">
        <f ca="1">IF(TODAY()&lt;D23,SUM(INT((WEEKDAY(B23-{2,3,4,5,6})+TODAY()-B23)/7)),SUM(INT((WEEKDAY(B23-{2,3,4,5,6})+D23-B23)/7)))-B25</f>
        <v>6</v>
      </c>
      <c r="J26" s="76"/>
      <c r="K26" s="1" t="s">
        <v>108</v>
      </c>
      <c r="L26">
        <f ca="1">B26</f>
        <v>6</v>
      </c>
    </row>
    <row r="27" spans="1:18" x14ac:dyDescent="0.25">
      <c r="A27" s="1"/>
      <c r="J27" s="76"/>
      <c r="K27" s="1"/>
    </row>
    <row r="28" spans="1:18" x14ac:dyDescent="0.25">
      <c r="B28" s="1" t="s">
        <v>190</v>
      </c>
      <c r="J28" s="76"/>
      <c r="L28" s="1" t="s">
        <v>190</v>
      </c>
    </row>
    <row r="29" spans="1:18" ht="45" x14ac:dyDescent="0.25">
      <c r="C29" s="46" t="s">
        <v>25</v>
      </c>
      <c r="D29" s="46" t="s">
        <v>26</v>
      </c>
      <c r="E29" s="46" t="s">
        <v>27</v>
      </c>
      <c r="F29" s="46" t="s">
        <v>28</v>
      </c>
      <c r="G29" s="8" t="s">
        <v>99</v>
      </c>
      <c r="H29" s="8" t="s">
        <v>29</v>
      </c>
      <c r="J29" s="76"/>
      <c r="M29" s="54" t="s">
        <v>25</v>
      </c>
      <c r="N29" s="54" t="s">
        <v>26</v>
      </c>
      <c r="O29" s="54" t="s">
        <v>27</v>
      </c>
      <c r="P29" s="54" t="s">
        <v>28</v>
      </c>
      <c r="Q29" s="8" t="s">
        <v>99</v>
      </c>
      <c r="R29" s="8" t="s">
        <v>29</v>
      </c>
    </row>
    <row r="30" spans="1:18" x14ac:dyDescent="0.25">
      <c r="C30" s="48">
        <v>1</v>
      </c>
      <c r="D30" s="48" t="s">
        <v>3</v>
      </c>
      <c r="E30" s="48">
        <f>SUM(Merged_COEM!D18)</f>
        <v>40085</v>
      </c>
      <c r="F30" s="48">
        <f>SUM(Merged_COEM!E18)</f>
        <v>33901</v>
      </c>
      <c r="G30" s="48">
        <f>E30/Table!$D$4</f>
        <v>89.077777777777783</v>
      </c>
      <c r="H30" s="40">
        <f>IFERROR(F30/E30,"N/A")</f>
        <v>0.84572782836472493</v>
      </c>
      <c r="J30" s="76"/>
      <c r="M30" s="59">
        <v>1</v>
      </c>
      <c r="N30" s="59" t="s">
        <v>3</v>
      </c>
      <c r="O30" s="59">
        <f>SUM(Merged_JOEM!D18)</f>
        <v>9180</v>
      </c>
      <c r="P30" s="59">
        <f>SUM(Merged_JOEM!E18)</f>
        <v>1845</v>
      </c>
      <c r="Q30" s="59">
        <f>O30/Table!$D$4</f>
        <v>20.399999999999999</v>
      </c>
      <c r="R30" s="40">
        <f>IFERROR(P30/O30,"N/A")</f>
        <v>0.20098039215686275</v>
      </c>
    </row>
    <row r="31" spans="1:18" x14ac:dyDescent="0.25">
      <c r="C31" s="48">
        <v>2</v>
      </c>
      <c r="D31" s="48" t="s">
        <v>2</v>
      </c>
      <c r="E31" s="55">
        <f>SUM(Merged_COEM!D37)</f>
        <v>385</v>
      </c>
      <c r="F31" s="59">
        <f>SUM(Merged_COEM!E37)</f>
        <v>214</v>
      </c>
      <c r="G31" s="48">
        <f>E31/Table!$C$4</f>
        <v>2.9615384615384617</v>
      </c>
      <c r="H31" s="40">
        <f>IFERROR(F31/E31,"N/A")</f>
        <v>0.55584415584415581</v>
      </c>
      <c r="J31" s="76"/>
      <c r="M31" s="59">
        <v>2</v>
      </c>
      <c r="N31" s="59" t="s">
        <v>2</v>
      </c>
      <c r="O31" s="59">
        <f>SUM(Merged_JOEM!D37)</f>
        <v>364</v>
      </c>
      <c r="P31" s="59">
        <f>SUM(Merged_JOEM!E37)</f>
        <v>364</v>
      </c>
      <c r="Q31" s="59">
        <f>O31/Table!$C$4</f>
        <v>2.8</v>
      </c>
      <c r="R31" s="40">
        <f>IFERROR(P31/O31,"N/A")</f>
        <v>1</v>
      </c>
    </row>
    <row r="32" spans="1:18" x14ac:dyDescent="0.25">
      <c r="C32" s="32"/>
      <c r="D32" s="30"/>
      <c r="E32" s="30"/>
      <c r="F32" s="30"/>
      <c r="G32" s="33"/>
      <c r="J32" s="76"/>
      <c r="M32" s="32"/>
      <c r="N32" s="30"/>
      <c r="O32" s="30"/>
      <c r="P32" s="30"/>
      <c r="Q32" s="33"/>
    </row>
    <row r="33" spans="2:19" x14ac:dyDescent="0.25">
      <c r="B33" s="1" t="s">
        <v>191</v>
      </c>
      <c r="J33" s="76"/>
      <c r="L33" s="1" t="s">
        <v>191</v>
      </c>
    </row>
    <row r="34" spans="2:19" ht="30" x14ac:dyDescent="0.25">
      <c r="C34" s="46" t="s">
        <v>25</v>
      </c>
      <c r="D34" s="46" t="s">
        <v>31</v>
      </c>
      <c r="E34" s="8" t="s">
        <v>32</v>
      </c>
      <c r="F34" s="8" t="s">
        <v>33</v>
      </c>
      <c r="G34" s="8" t="s">
        <v>134</v>
      </c>
      <c r="H34" s="8" t="s">
        <v>135</v>
      </c>
      <c r="J34" s="76"/>
      <c r="M34" s="54" t="s">
        <v>25</v>
      </c>
      <c r="N34" s="54" t="s">
        <v>31</v>
      </c>
      <c r="O34" s="8" t="s">
        <v>32</v>
      </c>
      <c r="P34" s="8" t="s">
        <v>33</v>
      </c>
      <c r="Q34" s="8" t="s">
        <v>134</v>
      </c>
      <c r="R34" s="8" t="s">
        <v>135</v>
      </c>
    </row>
    <row r="35" spans="2:19" x14ac:dyDescent="0.25">
      <c r="C35" s="48">
        <v>1</v>
      </c>
      <c r="D35" s="28" t="s">
        <v>114</v>
      </c>
      <c r="E35" s="4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1552</v>
      </c>
      <c r="F35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5" s="48">
        <f>E35/Table!$D$4</f>
        <v>3.4488888888888889</v>
      </c>
      <c r="H35" s="48">
        <f>F35/Table!$C$4</f>
        <v>0</v>
      </c>
      <c r="J35" s="76"/>
      <c r="M35" s="59">
        <v>1</v>
      </c>
      <c r="N35" s="28" t="s">
        <v>114</v>
      </c>
      <c r="O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5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5" s="59">
        <f>O35/Table!$D$4</f>
        <v>0</v>
      </c>
      <c r="R35" s="59">
        <f>P35/Table!$C$4</f>
        <v>0</v>
      </c>
    </row>
    <row r="36" spans="2:19" x14ac:dyDescent="0.25">
      <c r="C36" s="48">
        <v>2</v>
      </c>
      <c r="D36" s="28" t="s">
        <v>115</v>
      </c>
      <c r="E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1891</v>
      </c>
      <c r="F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129</v>
      </c>
      <c r="G36" s="59">
        <f>E36/Table!$D$4</f>
        <v>4.2022222222222219</v>
      </c>
      <c r="H36" s="59">
        <f>F36/Table!$C$4</f>
        <v>0.99230769230769234</v>
      </c>
      <c r="J36" s="76"/>
      <c r="M36" s="59">
        <v>2</v>
      </c>
      <c r="N36" s="28" t="s">
        <v>115</v>
      </c>
      <c r="O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6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6" s="59">
        <f>O36/Table!$D$4</f>
        <v>0</v>
      </c>
      <c r="R36" s="59">
        <f>P36/Table!$C$4</f>
        <v>0</v>
      </c>
    </row>
    <row r="37" spans="2:19" x14ac:dyDescent="0.25">
      <c r="C37" s="48">
        <v>3</v>
      </c>
      <c r="D37" s="28" t="s">
        <v>116</v>
      </c>
      <c r="E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4002</v>
      </c>
      <c r="F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7" s="59">
        <f>E37/Table!$D$4</f>
        <v>8.8933333333333326</v>
      </c>
      <c r="H37" s="59">
        <f>F37/Table!$C$4</f>
        <v>0</v>
      </c>
      <c r="J37" s="76"/>
      <c r="M37" s="59">
        <v>3</v>
      </c>
      <c r="N37" s="28" t="s">
        <v>116</v>
      </c>
      <c r="O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7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7" s="59">
        <f>O37/Table!$D$4</f>
        <v>0</v>
      </c>
      <c r="R37" s="59">
        <f>P37/Table!$C$4</f>
        <v>0</v>
      </c>
    </row>
    <row r="38" spans="2:19" x14ac:dyDescent="0.25">
      <c r="C38" s="59">
        <v>4</v>
      </c>
      <c r="D38" s="28" t="s">
        <v>117</v>
      </c>
      <c r="E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38" s="59">
        <f>E38/Table!$D$4</f>
        <v>0</v>
      </c>
      <c r="H38" s="59">
        <f>F38/Table!$C$4</f>
        <v>0</v>
      </c>
      <c r="J38" s="76"/>
      <c r="M38" s="59">
        <v>4</v>
      </c>
      <c r="N38" s="28" t="s">
        <v>117</v>
      </c>
      <c r="O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945</v>
      </c>
      <c r="P38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8" s="59">
        <f>O38/Table!$D$4</f>
        <v>2.1</v>
      </c>
      <c r="R38" s="59">
        <f>P38/Table!$C$4</f>
        <v>0</v>
      </c>
    </row>
    <row r="39" spans="2:19" x14ac:dyDescent="0.25">
      <c r="C39" s="59">
        <v>5</v>
      </c>
      <c r="D39" s="28" t="s">
        <v>168</v>
      </c>
      <c r="E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5842</v>
      </c>
      <c r="F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36</v>
      </c>
      <c r="G39" s="59">
        <f>E39/Table!$D$4</f>
        <v>12.982222222222223</v>
      </c>
      <c r="H39" s="59">
        <f>F39/Table!$C$4</f>
        <v>0.27692307692307694</v>
      </c>
      <c r="J39" s="76"/>
      <c r="M39" s="59">
        <v>5</v>
      </c>
      <c r="N39" s="28" t="s">
        <v>168</v>
      </c>
      <c r="O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39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39" s="59">
        <f>O39/Table!$D$4</f>
        <v>0</v>
      </c>
      <c r="R39" s="59">
        <f>P39/Table!$C$4</f>
        <v>0</v>
      </c>
    </row>
    <row r="40" spans="2:19" x14ac:dyDescent="0.25">
      <c r="C40" s="59">
        <v>6</v>
      </c>
      <c r="D40" s="28" t="s">
        <v>169</v>
      </c>
      <c r="E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5043</v>
      </c>
      <c r="F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0" s="59">
        <f>E40/Table!$D$4</f>
        <v>11.206666666666667</v>
      </c>
      <c r="H40" s="59">
        <f>F40/Table!$C$4</f>
        <v>0</v>
      </c>
      <c r="J40" s="76"/>
      <c r="M40" s="59">
        <v>6</v>
      </c>
      <c r="N40" s="28" t="s">
        <v>169</v>
      </c>
      <c r="O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0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0" s="59">
        <f>O40/Table!$D$4</f>
        <v>0</v>
      </c>
      <c r="R40" s="59">
        <f>P40/Table!$C$4</f>
        <v>0</v>
      </c>
    </row>
    <row r="41" spans="2:19" x14ac:dyDescent="0.25">
      <c r="C41" s="59">
        <v>7</v>
      </c>
      <c r="D41" s="28" t="s">
        <v>170</v>
      </c>
      <c r="E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5839</v>
      </c>
      <c r="F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10</v>
      </c>
      <c r="G41" s="59">
        <f>E41/Table!$D$4</f>
        <v>12.975555555555555</v>
      </c>
      <c r="H41" s="59">
        <f>F41/Table!$C$4</f>
        <v>7.6923076923076927E-2</v>
      </c>
      <c r="J41" s="76"/>
      <c r="M41" s="59">
        <v>7</v>
      </c>
      <c r="N41" s="28" t="s">
        <v>170</v>
      </c>
      <c r="O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1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1" s="59">
        <f>O41/Table!$D$4</f>
        <v>0</v>
      </c>
      <c r="R41" s="59">
        <f>P41/Table!$C$4</f>
        <v>0</v>
      </c>
    </row>
    <row r="42" spans="2:19" x14ac:dyDescent="0.25">
      <c r="C42" s="59">
        <v>8</v>
      </c>
      <c r="D42" s="28" t="s">
        <v>171</v>
      </c>
      <c r="E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5148</v>
      </c>
      <c r="F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39</v>
      </c>
      <c r="G42" s="59">
        <f>E42/Table!$D$4</f>
        <v>11.44</v>
      </c>
      <c r="H42" s="59">
        <f>F42/Table!$C$4</f>
        <v>0.3</v>
      </c>
      <c r="J42" s="76"/>
      <c r="M42" s="59">
        <v>8</v>
      </c>
      <c r="N42" s="28" t="s">
        <v>171</v>
      </c>
      <c r="O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2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2" s="59">
        <f>O42/Table!$D$4</f>
        <v>0</v>
      </c>
      <c r="R42" s="59">
        <f>P42/Table!$C$4</f>
        <v>0</v>
      </c>
    </row>
    <row r="43" spans="2:19" x14ac:dyDescent="0.25">
      <c r="C43" s="59">
        <v>9</v>
      </c>
      <c r="D43" s="28" t="s">
        <v>159</v>
      </c>
      <c r="E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3" s="59">
        <f>E43/Table!$D$4</f>
        <v>0</v>
      </c>
      <c r="H43" s="59">
        <f>F43/Table!$C$4</f>
        <v>0</v>
      </c>
      <c r="J43" s="76"/>
      <c r="M43" s="59">
        <v>9</v>
      </c>
      <c r="N43" s="28" t="s">
        <v>159</v>
      </c>
      <c r="O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900</v>
      </c>
      <c r="P43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364</v>
      </c>
      <c r="Q43" s="59">
        <f>O43/Table!$D$4</f>
        <v>2</v>
      </c>
      <c r="R43" s="59">
        <f>P43/Table!$C$4</f>
        <v>2.8</v>
      </c>
    </row>
    <row r="44" spans="2:19" x14ac:dyDescent="0.25">
      <c r="C44" s="59">
        <v>10</v>
      </c>
      <c r="D44" s="28" t="s">
        <v>158</v>
      </c>
      <c r="E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4584</v>
      </c>
      <c r="F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4" s="59">
        <f>E44/Table!$D$4</f>
        <v>10.186666666666667</v>
      </c>
      <c r="H44" s="59">
        <f>F44/Table!$C$4</f>
        <v>0</v>
      </c>
      <c r="J44" s="76"/>
      <c r="M44" s="59">
        <v>10</v>
      </c>
      <c r="N44" s="28" t="s">
        <v>158</v>
      </c>
      <c r="O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4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4" s="59">
        <f>O44/Table!$D$4</f>
        <v>0</v>
      </c>
      <c r="R44" s="59">
        <f>P44/Table!$C$4</f>
        <v>0</v>
      </c>
    </row>
    <row r="45" spans="2:19" x14ac:dyDescent="0.25">
      <c r="C45" s="59">
        <v>11</v>
      </c>
      <c r="D45" s="28" t="s">
        <v>757</v>
      </c>
      <c r="E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5" s="59">
        <f>E45/Table!$D$4</f>
        <v>0</v>
      </c>
      <c r="H45" s="59">
        <f>F45/Table!$C$4</f>
        <v>0</v>
      </c>
      <c r="I45" t="s">
        <v>765</v>
      </c>
      <c r="J45" s="76"/>
      <c r="M45" s="59">
        <v>11</v>
      </c>
      <c r="N45" s="28" t="s">
        <v>757</v>
      </c>
      <c r="O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5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5" s="59">
        <f>O45/Table!$D$4</f>
        <v>0</v>
      </c>
      <c r="R45" s="59">
        <f>P45/Table!$C$4</f>
        <v>0</v>
      </c>
      <c r="S45" t="s">
        <v>765</v>
      </c>
    </row>
    <row r="46" spans="2:19" x14ac:dyDescent="0.25">
      <c r="C46" s="59">
        <v>12</v>
      </c>
      <c r="D46" s="28" t="s">
        <v>759</v>
      </c>
      <c r="E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6" s="59">
        <f>E46/Table!$D$4</f>
        <v>0</v>
      </c>
      <c r="H46" s="59">
        <f>F46/Table!$C$4</f>
        <v>0</v>
      </c>
      <c r="I46" t="s">
        <v>765</v>
      </c>
      <c r="J46" s="76"/>
      <c r="M46" s="59">
        <v>12</v>
      </c>
      <c r="N46" s="28" t="s">
        <v>759</v>
      </c>
      <c r="O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6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6" s="59">
        <f>O46/Table!$D$4</f>
        <v>0</v>
      </c>
      <c r="R46" s="59">
        <f>P46/Table!$C$4</f>
        <v>0</v>
      </c>
      <c r="S46" t="s">
        <v>765</v>
      </c>
    </row>
    <row r="47" spans="2:19" x14ac:dyDescent="0.25">
      <c r="C47" s="59">
        <v>13</v>
      </c>
      <c r="D47" s="28" t="s">
        <v>756</v>
      </c>
      <c r="E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7" s="59">
        <f>E47/Table!$D$4</f>
        <v>0</v>
      </c>
      <c r="H47" s="59">
        <f>F47/Table!$C$4</f>
        <v>0</v>
      </c>
      <c r="I47" t="s">
        <v>765</v>
      </c>
      <c r="J47" s="76"/>
      <c r="M47" s="59">
        <v>13</v>
      </c>
      <c r="N47" s="28" t="s">
        <v>756</v>
      </c>
      <c r="O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7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7" s="59">
        <f>O47/Table!$D$4</f>
        <v>0</v>
      </c>
      <c r="R47" s="59">
        <f>P47/Table!$C$4</f>
        <v>0</v>
      </c>
      <c r="S47" t="s">
        <v>765</v>
      </c>
    </row>
    <row r="48" spans="2:19" x14ac:dyDescent="0.25">
      <c r="C48" s="59">
        <v>14</v>
      </c>
      <c r="D48" s="28" t="s">
        <v>758</v>
      </c>
      <c r="E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Chuong","chuong.nguyen-minh"),Merged_COEM!$C$4:$H$17,3,0)</f>
        <v>0</v>
      </c>
      <c r="F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Chuong","chuong.nguyen-minh"),Merged_COEM!$C$23:$H$36,3,0)</f>
        <v>0</v>
      </c>
      <c r="G48" s="59">
        <f>E48/Table!$D$4</f>
        <v>0</v>
      </c>
      <c r="H48" s="59">
        <f>F48/Table!$C$4</f>
        <v>0</v>
      </c>
      <c r="I48" t="s">
        <v>765</v>
      </c>
      <c r="J48" s="76"/>
      <c r="M48" s="59">
        <v>14</v>
      </c>
      <c r="N48" s="28" t="s">
        <v>758</v>
      </c>
      <c r="O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Chuong","chuong.nguyen-minh"),Merged_JOEM!$C$4:$H$17,3,0)</f>
        <v>0</v>
      </c>
      <c r="P48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Chuong","chuong.nguyen-minh"),Merged_JOEM!$C$23:$H$36,3,0)</f>
        <v>0</v>
      </c>
      <c r="Q48" s="59">
        <f>O48/Table!$D$4</f>
        <v>0</v>
      </c>
      <c r="R48" s="59">
        <f>P48/Table!$C$4</f>
        <v>0</v>
      </c>
      <c r="S48" t="s">
        <v>765</v>
      </c>
    </row>
    <row r="49" spans="2:18" x14ac:dyDescent="0.25">
      <c r="C49" s="30"/>
      <c r="D49" s="29"/>
      <c r="E49" s="30"/>
      <c r="F49" s="30"/>
      <c r="G49" s="30"/>
      <c r="H49" s="30"/>
      <c r="J49" s="76"/>
      <c r="M49" s="30"/>
      <c r="N49" s="29"/>
      <c r="O49" s="30"/>
      <c r="P49" s="30"/>
      <c r="Q49" s="30"/>
      <c r="R49" s="30"/>
    </row>
    <row r="50" spans="2:18" x14ac:dyDescent="0.25">
      <c r="B50" s="1" t="s">
        <v>34</v>
      </c>
      <c r="J50" s="76"/>
      <c r="L50" s="1" t="s">
        <v>34</v>
      </c>
    </row>
    <row r="51" spans="2:18" x14ac:dyDescent="0.25">
      <c r="C51" s="54" t="s">
        <v>25</v>
      </c>
      <c r="D51" s="49" t="s">
        <v>35</v>
      </c>
      <c r="E51" s="50"/>
      <c r="F51" s="51"/>
      <c r="J51" s="76"/>
      <c r="M51" s="54" t="s">
        <v>25</v>
      </c>
      <c r="N51" s="49" t="s">
        <v>35</v>
      </c>
      <c r="O51" s="50"/>
      <c r="P51" s="51"/>
    </row>
    <row r="52" spans="2:18" x14ac:dyDescent="0.25">
      <c r="C52" s="59">
        <v>1</v>
      </c>
      <c r="D52" s="36" t="s">
        <v>61</v>
      </c>
      <c r="E52" s="37"/>
      <c r="F52" s="38"/>
      <c r="J52" s="76"/>
      <c r="M52" s="59">
        <v>1</v>
      </c>
      <c r="N52" s="36" t="s">
        <v>61</v>
      </c>
      <c r="O52" s="37"/>
      <c r="P52" s="38"/>
    </row>
    <row r="53" spans="2:18" x14ac:dyDescent="0.25">
      <c r="C53" s="59">
        <v>2</v>
      </c>
      <c r="D53" s="36" t="s">
        <v>61</v>
      </c>
      <c r="E53" s="37"/>
      <c r="F53" s="38"/>
      <c r="J53" s="76"/>
      <c r="M53" s="59">
        <v>2</v>
      </c>
      <c r="N53" s="36" t="s">
        <v>61</v>
      </c>
      <c r="O53" s="37"/>
      <c r="P53" s="38"/>
    </row>
    <row r="54" spans="2:18" x14ac:dyDescent="0.25">
      <c r="C54" s="59">
        <v>3</v>
      </c>
      <c r="D54" s="36" t="s">
        <v>61</v>
      </c>
      <c r="E54" s="37"/>
      <c r="F54" s="38"/>
      <c r="J54" s="76"/>
      <c r="M54" s="59">
        <v>3</v>
      </c>
      <c r="N54" s="36" t="s">
        <v>61</v>
      </c>
      <c r="O54" s="37"/>
      <c r="P54" s="38"/>
    </row>
    <row r="55" spans="2:18" x14ac:dyDescent="0.25">
      <c r="C55" s="59">
        <v>4</v>
      </c>
      <c r="D55" s="36" t="s">
        <v>61</v>
      </c>
      <c r="E55" s="37"/>
      <c r="F55" s="38"/>
      <c r="J55" s="76"/>
      <c r="M55" s="59">
        <v>4</v>
      </c>
      <c r="N55" s="36" t="s">
        <v>61</v>
      </c>
      <c r="O55" s="37"/>
      <c r="P55" s="38"/>
    </row>
    <row r="56" spans="2:18" x14ac:dyDescent="0.25">
      <c r="J56" s="76"/>
    </row>
    <row r="57" spans="2:18" x14ac:dyDescent="0.25">
      <c r="B57" s="1" t="s">
        <v>192</v>
      </c>
      <c r="J57" s="76"/>
      <c r="L57" s="1" t="s">
        <v>192</v>
      </c>
    </row>
    <row r="58" spans="2:18" x14ac:dyDescent="0.25">
      <c r="C58" s="46" t="s">
        <v>25</v>
      </c>
      <c r="D58" s="46" t="s">
        <v>31</v>
      </c>
      <c r="E58" s="8" t="s">
        <v>132</v>
      </c>
      <c r="F58" s="8" t="s">
        <v>133</v>
      </c>
      <c r="J58" s="76"/>
      <c r="M58" s="54" t="s">
        <v>25</v>
      </c>
      <c r="N58" s="54" t="s">
        <v>31</v>
      </c>
      <c r="O58" s="8" t="s">
        <v>132</v>
      </c>
      <c r="P58" s="8" t="s">
        <v>133</v>
      </c>
    </row>
    <row r="59" spans="2:18" x14ac:dyDescent="0.25">
      <c r="C59" s="59">
        <v>1</v>
      </c>
      <c r="D59" s="28" t="s">
        <v>114</v>
      </c>
      <c r="E59" s="4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59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59" s="76"/>
      <c r="M59" s="59">
        <v>1</v>
      </c>
      <c r="N59" s="28" t="s">
        <v>114</v>
      </c>
      <c r="O59" s="58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59" s="59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0" spans="2:18" x14ac:dyDescent="0.25">
      <c r="C60" s="59">
        <v>2</v>
      </c>
      <c r="D60" s="28" t="s">
        <v>115</v>
      </c>
      <c r="E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1</v>
      </c>
      <c r="F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0" s="76"/>
      <c r="M60" s="59">
        <v>2</v>
      </c>
      <c r="N60" s="28" t="s">
        <v>115</v>
      </c>
      <c r="O60" s="58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0" s="59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1" spans="2:18" x14ac:dyDescent="0.25">
      <c r="C61" s="59">
        <v>3</v>
      </c>
      <c r="D61" s="28" t="s">
        <v>116</v>
      </c>
      <c r="E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1" s="76"/>
      <c r="M61" s="59">
        <v>3</v>
      </c>
      <c r="N61" s="28" t="s">
        <v>116</v>
      </c>
      <c r="O61" s="58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1" s="59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2" spans="2:18" x14ac:dyDescent="0.25">
      <c r="C62" s="59">
        <v>4</v>
      </c>
      <c r="D62" s="28" t="s">
        <v>117</v>
      </c>
      <c r="E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2" s="76"/>
      <c r="M62" s="59">
        <v>4</v>
      </c>
      <c r="N62" s="28" t="s">
        <v>117</v>
      </c>
      <c r="O62" s="58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2" s="59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3" spans="2:18" x14ac:dyDescent="0.25">
      <c r="C63" s="59">
        <v>5</v>
      </c>
      <c r="D63" s="28" t="s">
        <v>168</v>
      </c>
      <c r="E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3</v>
      </c>
      <c r="F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3" s="76"/>
      <c r="M63" s="59">
        <v>5</v>
      </c>
      <c r="N63" s="28" t="s">
        <v>168</v>
      </c>
      <c r="O63" s="58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3" s="59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4" spans="2:18" x14ac:dyDescent="0.25">
      <c r="C64" s="59">
        <v>6</v>
      </c>
      <c r="D64" s="28" t="s">
        <v>169</v>
      </c>
      <c r="E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4" s="76"/>
      <c r="M64" s="59">
        <v>6</v>
      </c>
      <c r="N64" s="28" t="s">
        <v>169</v>
      </c>
      <c r="O64" s="58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4" s="59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5" spans="2:16" x14ac:dyDescent="0.25">
      <c r="C65" s="59">
        <v>7</v>
      </c>
      <c r="D65" s="28" t="s">
        <v>170</v>
      </c>
      <c r="E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5" s="76"/>
      <c r="M65" s="59">
        <v>7</v>
      </c>
      <c r="N65" s="28" t="s">
        <v>170</v>
      </c>
      <c r="O65" s="58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5" s="59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6" spans="2:16" x14ac:dyDescent="0.25">
      <c r="C66" s="59">
        <v>8</v>
      </c>
      <c r="D66" s="28" t="s">
        <v>171</v>
      </c>
      <c r="E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4</v>
      </c>
      <c r="F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6" s="76"/>
      <c r="M66" s="59">
        <v>8</v>
      </c>
      <c r="N66" s="28" t="s">
        <v>171</v>
      </c>
      <c r="O66" s="58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6" s="59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7" spans="2:16" x14ac:dyDescent="0.25">
      <c r="C67" s="59">
        <v>9</v>
      </c>
      <c r="D67" s="28" t="s">
        <v>159</v>
      </c>
      <c r="E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7" s="76"/>
      <c r="M67" s="59">
        <v>9</v>
      </c>
      <c r="N67" s="28" t="s">
        <v>159</v>
      </c>
      <c r="O67" s="58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7" s="59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8" spans="2:16" x14ac:dyDescent="0.25">
      <c r="C68" s="59">
        <v>10</v>
      </c>
      <c r="D68" s="28" t="s">
        <v>158</v>
      </c>
      <c r="E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2</v>
      </c>
      <c r="F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8" s="76"/>
      <c r="M68" s="59">
        <v>10</v>
      </c>
      <c r="N68" s="28" t="s">
        <v>158</v>
      </c>
      <c r="O68" s="58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8" s="59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69" spans="2:16" x14ac:dyDescent="0.25">
      <c r="C69" s="59">
        <v>11</v>
      </c>
      <c r="D69" s="28" t="s">
        <v>757</v>
      </c>
      <c r="E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69" s="76"/>
      <c r="M69" s="59">
        <v>11</v>
      </c>
      <c r="N69" s="28" t="s">
        <v>757</v>
      </c>
      <c r="O69" s="58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69" s="59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0" spans="2:16" x14ac:dyDescent="0.25">
      <c r="C70" s="59">
        <v>12</v>
      </c>
      <c r="D70" s="28" t="s">
        <v>759</v>
      </c>
      <c r="E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0" s="76"/>
      <c r="M70" s="59">
        <v>12</v>
      </c>
      <c r="N70" s="28" t="s">
        <v>759</v>
      </c>
      <c r="O70" s="58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0" s="59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1" spans="2:16" x14ac:dyDescent="0.25">
      <c r="C71" s="59">
        <v>13</v>
      </c>
      <c r="D71" s="28" t="s">
        <v>756</v>
      </c>
      <c r="E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1" s="76"/>
      <c r="M71" s="59">
        <v>13</v>
      </c>
      <c r="N71" s="28" t="s">
        <v>756</v>
      </c>
      <c r="O71" s="58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1" s="59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2" spans="2:16" x14ac:dyDescent="0.25">
      <c r="C72" s="59">
        <v>14</v>
      </c>
      <c r="D72" s="28" t="s">
        <v>758</v>
      </c>
      <c r="E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Chuong","chuong.nguyen-minh"),Merged_COEM!$C$42:$J$55,7,0)</f>
        <v>0</v>
      </c>
      <c r="F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Chuong","chuong.nguyen-minh"),Merged_COEM!$C$42:$J$55,8,0)</f>
        <v>0</v>
      </c>
      <c r="J72" s="76"/>
      <c r="M72" s="59">
        <v>14</v>
      </c>
      <c r="N72" s="28" t="s">
        <v>758</v>
      </c>
      <c r="O72" s="58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Chuong","chuong.nguyen-minh"),Merged_JOEM!$C$42:$J$55,7,0)</f>
        <v>0</v>
      </c>
      <c r="P72" s="59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Duong","duong.nguyen"),
"Do Phu Loc","loc.do-phu"),
"Nguyen Kim Thanh","thanh.nguyen-kim"),
"Ly Chung","chung.ly"),
"Do Anh Huy","huy.do-anh"),
"Nguyen Thanh Phuong","phuong.nguyen-thanh"),
"Phan The Nam","nam.phan-the"),
"Le Hong Phuc","phuc.le-hong"),
"Nguyen Tran Hoang Huy","huy.nguyen-hoang"),
"Nguyen Minh Chuong","chuong.nguyen-minh"),Merged_JOEM!$C$42:$J$55,8,0)</f>
        <v>0</v>
      </c>
    </row>
    <row r="73" spans="2:16" x14ac:dyDescent="0.25">
      <c r="C73" s="30"/>
      <c r="D73" s="29"/>
      <c r="E73" s="60"/>
      <c r="F73" s="30"/>
      <c r="J73" s="76"/>
      <c r="M73" s="30"/>
      <c r="N73" s="29"/>
      <c r="O73" s="60"/>
      <c r="P73" s="30"/>
    </row>
    <row r="74" spans="2:16" x14ac:dyDescent="0.25">
      <c r="B74" s="1" t="s">
        <v>193</v>
      </c>
      <c r="J74" s="76"/>
      <c r="L74" s="1" t="s">
        <v>193</v>
      </c>
    </row>
    <row r="75" spans="2:16" x14ac:dyDescent="0.25">
      <c r="C75" s="46" t="s">
        <v>25</v>
      </c>
      <c r="D75" s="46" t="s">
        <v>31</v>
      </c>
      <c r="E75" s="8" t="s">
        <v>36</v>
      </c>
      <c r="F75" s="8" t="s">
        <v>37</v>
      </c>
      <c r="J75" s="76"/>
      <c r="M75" s="54" t="s">
        <v>25</v>
      </c>
      <c r="N75" s="54" t="s">
        <v>31</v>
      </c>
      <c r="O75" s="8" t="s">
        <v>36</v>
      </c>
      <c r="P75" s="8" t="s">
        <v>37</v>
      </c>
    </row>
    <row r="76" spans="2:16" x14ac:dyDescent="0.25">
      <c r="C76" s="59">
        <v>1</v>
      </c>
      <c r="D76" s="28" t="s">
        <v>114</v>
      </c>
      <c r="E76" s="47" t="s">
        <v>61</v>
      </c>
      <c r="F76" s="47" t="s">
        <v>61</v>
      </c>
      <c r="J76" s="76"/>
      <c r="M76" s="59">
        <v>1</v>
      </c>
      <c r="N76" s="28" t="s">
        <v>114</v>
      </c>
      <c r="O76" s="58" t="s">
        <v>61</v>
      </c>
      <c r="P76" s="58" t="s">
        <v>61</v>
      </c>
    </row>
    <row r="77" spans="2:16" x14ac:dyDescent="0.25">
      <c r="C77" s="59">
        <v>2</v>
      </c>
      <c r="D77" s="28" t="s">
        <v>115</v>
      </c>
      <c r="E77" s="47" t="s">
        <v>61</v>
      </c>
      <c r="F77" s="139" t="s">
        <v>61</v>
      </c>
      <c r="J77" s="76"/>
      <c r="M77" s="59">
        <v>2</v>
      </c>
      <c r="N77" s="28" t="s">
        <v>115</v>
      </c>
      <c r="O77" s="58" t="s">
        <v>61</v>
      </c>
      <c r="P77" s="58" t="s">
        <v>863</v>
      </c>
    </row>
    <row r="78" spans="2:16" x14ac:dyDescent="0.25">
      <c r="C78" s="59">
        <v>3</v>
      </c>
      <c r="D78" s="28" t="s">
        <v>116</v>
      </c>
      <c r="E78" s="47" t="s">
        <v>61</v>
      </c>
      <c r="F78" s="58" t="s">
        <v>61</v>
      </c>
      <c r="J78" s="76"/>
      <c r="M78" s="59">
        <v>3</v>
      </c>
      <c r="N78" s="28" t="s">
        <v>116</v>
      </c>
      <c r="O78" s="58" t="s">
        <v>61</v>
      </c>
      <c r="P78" s="58" t="s">
        <v>61</v>
      </c>
    </row>
    <row r="79" spans="2:16" x14ac:dyDescent="0.25">
      <c r="C79" s="59">
        <v>4</v>
      </c>
      <c r="D79" s="28" t="s">
        <v>117</v>
      </c>
      <c r="E79" s="47" t="s">
        <v>61</v>
      </c>
      <c r="F79" s="139" t="s">
        <v>61</v>
      </c>
      <c r="J79" s="76"/>
      <c r="M79" s="59">
        <v>4</v>
      </c>
      <c r="N79" s="28" t="s">
        <v>117</v>
      </c>
      <c r="O79" s="58" t="s">
        <v>61</v>
      </c>
      <c r="P79" s="58" t="s">
        <v>61</v>
      </c>
    </row>
    <row r="80" spans="2:16" x14ac:dyDescent="0.25">
      <c r="C80" s="59">
        <v>5</v>
      </c>
      <c r="D80" s="28" t="s">
        <v>168</v>
      </c>
      <c r="E80" s="58" t="s">
        <v>61</v>
      </c>
      <c r="F80" s="58" t="s">
        <v>61</v>
      </c>
      <c r="J80" s="76"/>
      <c r="M80" s="59">
        <v>5</v>
      </c>
      <c r="N80" s="28" t="s">
        <v>168</v>
      </c>
      <c r="O80" s="58" t="s">
        <v>61</v>
      </c>
      <c r="P80" s="58" t="s">
        <v>61</v>
      </c>
    </row>
    <row r="81" spans="2:16" x14ac:dyDescent="0.25">
      <c r="C81" s="59">
        <v>6</v>
      </c>
      <c r="D81" s="28" t="s">
        <v>169</v>
      </c>
      <c r="E81" s="58" t="s">
        <v>61</v>
      </c>
      <c r="F81" s="58" t="s">
        <v>61</v>
      </c>
      <c r="J81" s="76"/>
      <c r="M81" s="59">
        <v>6</v>
      </c>
      <c r="N81" s="28" t="s">
        <v>169</v>
      </c>
      <c r="O81" s="58" t="s">
        <v>61</v>
      </c>
      <c r="P81" s="58" t="s">
        <v>61</v>
      </c>
    </row>
    <row r="82" spans="2:16" x14ac:dyDescent="0.25">
      <c r="C82" s="59">
        <v>7</v>
      </c>
      <c r="D82" s="28" t="s">
        <v>170</v>
      </c>
      <c r="E82" s="58" t="s">
        <v>61</v>
      </c>
      <c r="F82" s="58" t="s">
        <v>61</v>
      </c>
      <c r="J82" s="76"/>
      <c r="M82" s="59">
        <v>7</v>
      </c>
      <c r="N82" s="28" t="s">
        <v>170</v>
      </c>
      <c r="O82" s="58" t="s">
        <v>61</v>
      </c>
      <c r="P82" s="58" t="s">
        <v>61</v>
      </c>
    </row>
    <row r="83" spans="2:16" x14ac:dyDescent="0.25">
      <c r="C83" s="59">
        <v>8</v>
      </c>
      <c r="D83" s="28" t="s">
        <v>171</v>
      </c>
      <c r="E83" s="58">
        <v>2</v>
      </c>
      <c r="F83" s="58" t="s">
        <v>235</v>
      </c>
      <c r="J83" s="76"/>
      <c r="M83" s="59">
        <v>8</v>
      </c>
      <c r="N83" s="28" t="s">
        <v>171</v>
      </c>
      <c r="O83" s="58" t="s">
        <v>61</v>
      </c>
      <c r="P83" s="58" t="s">
        <v>61</v>
      </c>
    </row>
    <row r="84" spans="2:16" x14ac:dyDescent="0.25">
      <c r="C84" s="59">
        <v>9</v>
      </c>
      <c r="D84" s="28" t="s">
        <v>159</v>
      </c>
      <c r="E84" s="58" t="s">
        <v>61</v>
      </c>
      <c r="F84" s="58" t="s">
        <v>61</v>
      </c>
      <c r="J84" s="76"/>
      <c r="M84" s="59">
        <v>9</v>
      </c>
      <c r="N84" s="28" t="s">
        <v>159</v>
      </c>
      <c r="O84" s="58">
        <v>1</v>
      </c>
      <c r="P84" s="139">
        <v>43973</v>
      </c>
    </row>
    <row r="85" spans="2:16" x14ac:dyDescent="0.25">
      <c r="C85" s="59">
        <v>10</v>
      </c>
      <c r="D85" s="28" t="s">
        <v>158</v>
      </c>
      <c r="E85" s="58" t="s">
        <v>61</v>
      </c>
      <c r="F85" s="58" t="s">
        <v>61</v>
      </c>
      <c r="J85" s="76"/>
      <c r="M85" s="59">
        <v>10</v>
      </c>
      <c r="N85" s="28" t="s">
        <v>158</v>
      </c>
      <c r="O85" s="58" t="s">
        <v>61</v>
      </c>
      <c r="P85" s="58" t="s">
        <v>61</v>
      </c>
    </row>
    <row r="86" spans="2:16" x14ac:dyDescent="0.25">
      <c r="C86" s="59">
        <v>11</v>
      </c>
      <c r="D86" s="28" t="s">
        <v>757</v>
      </c>
      <c r="E86" s="58" t="s">
        <v>61</v>
      </c>
      <c r="F86" s="58" t="s">
        <v>61</v>
      </c>
      <c r="J86" s="76"/>
      <c r="M86" s="59">
        <v>11</v>
      </c>
      <c r="N86" s="28" t="s">
        <v>757</v>
      </c>
      <c r="O86" s="58" t="s">
        <v>61</v>
      </c>
      <c r="P86" s="58" t="s">
        <v>61</v>
      </c>
    </row>
    <row r="87" spans="2:16" x14ac:dyDescent="0.25">
      <c r="C87" s="59">
        <v>12</v>
      </c>
      <c r="D87" s="28" t="s">
        <v>759</v>
      </c>
      <c r="E87" s="58" t="s">
        <v>61</v>
      </c>
      <c r="F87" s="58" t="s">
        <v>61</v>
      </c>
      <c r="J87" s="76"/>
      <c r="M87" s="59">
        <v>12</v>
      </c>
      <c r="N87" s="28" t="s">
        <v>759</v>
      </c>
      <c r="O87" s="58" t="s">
        <v>61</v>
      </c>
      <c r="P87" s="58" t="s">
        <v>61</v>
      </c>
    </row>
    <row r="88" spans="2:16" x14ac:dyDescent="0.25">
      <c r="C88" s="59">
        <v>13</v>
      </c>
      <c r="D88" s="28" t="s">
        <v>756</v>
      </c>
      <c r="E88" s="58" t="s">
        <v>61</v>
      </c>
      <c r="F88" s="58" t="s">
        <v>61</v>
      </c>
      <c r="J88" s="76"/>
      <c r="M88" s="59">
        <v>13</v>
      </c>
      <c r="N88" s="28" t="s">
        <v>756</v>
      </c>
      <c r="O88" s="58" t="s">
        <v>61</v>
      </c>
      <c r="P88" s="58" t="s">
        <v>61</v>
      </c>
    </row>
    <row r="89" spans="2:16" x14ac:dyDescent="0.25">
      <c r="C89" s="59">
        <v>14</v>
      </c>
      <c r="D89" s="28" t="s">
        <v>758</v>
      </c>
      <c r="E89" s="58" t="s">
        <v>61</v>
      </c>
      <c r="F89" s="58" t="s">
        <v>61</v>
      </c>
      <c r="J89" s="76"/>
      <c r="M89" s="59">
        <v>14</v>
      </c>
      <c r="N89" s="28" t="s">
        <v>758</v>
      </c>
      <c r="O89" s="58" t="s">
        <v>61</v>
      </c>
      <c r="P89" s="58" t="s">
        <v>61</v>
      </c>
    </row>
    <row r="90" spans="2:16" x14ac:dyDescent="0.25">
      <c r="C90" s="30"/>
      <c r="D90" s="29"/>
      <c r="E90" s="60"/>
      <c r="F90" s="60"/>
      <c r="J90" s="76"/>
      <c r="M90" s="30"/>
      <c r="N90" s="29"/>
      <c r="O90" s="60"/>
      <c r="P90" s="60"/>
    </row>
    <row r="91" spans="2:16" x14ac:dyDescent="0.25">
      <c r="C91" s="30"/>
      <c r="D91" s="29"/>
      <c r="E91" s="60"/>
      <c r="F91" s="60"/>
      <c r="J91" s="76"/>
      <c r="M91" s="30"/>
      <c r="N91" s="29"/>
      <c r="O91" s="60"/>
      <c r="P91" s="60"/>
    </row>
    <row r="92" spans="2:16" x14ac:dyDescent="0.25">
      <c r="B92" s="1" t="s">
        <v>39</v>
      </c>
      <c r="J92" s="76"/>
      <c r="L92" s="1" t="s">
        <v>39</v>
      </c>
    </row>
    <row r="93" spans="2:16" x14ac:dyDescent="0.25">
      <c r="C93" s="1" t="s">
        <v>41</v>
      </c>
      <c r="J93" s="76"/>
      <c r="M93" s="1" t="s">
        <v>41</v>
      </c>
    </row>
    <row r="94" spans="2:16" x14ac:dyDescent="0.25">
      <c r="D94" t="s">
        <v>40</v>
      </c>
      <c r="J94" s="76"/>
      <c r="N94" t="s">
        <v>40</v>
      </c>
    </row>
    <row r="95" spans="2:16" x14ac:dyDescent="0.25">
      <c r="D95" t="s">
        <v>97</v>
      </c>
      <c r="J95" s="76"/>
      <c r="N95" t="s">
        <v>97</v>
      </c>
    </row>
    <row r="96" spans="2:16" x14ac:dyDescent="0.25">
      <c r="C96" s="1" t="s">
        <v>42</v>
      </c>
      <c r="J96" s="76"/>
      <c r="M96" s="1" t="s">
        <v>42</v>
      </c>
    </row>
    <row r="97" spans="2:14" x14ac:dyDescent="0.25">
      <c r="D97" t="s">
        <v>43</v>
      </c>
      <c r="J97" s="76"/>
      <c r="N97" t="s">
        <v>43</v>
      </c>
    </row>
    <row r="98" spans="2:14" x14ac:dyDescent="0.25">
      <c r="D98" t="s">
        <v>44</v>
      </c>
      <c r="J98" s="76"/>
      <c r="N98" t="s">
        <v>44</v>
      </c>
    </row>
    <row r="99" spans="2:14" x14ac:dyDescent="0.25">
      <c r="C99" s="1" t="s">
        <v>165</v>
      </c>
      <c r="J99" s="76"/>
      <c r="M99" s="1" t="s">
        <v>165</v>
      </c>
    </row>
    <row r="100" spans="2:14" x14ac:dyDescent="0.25">
      <c r="D100" t="s">
        <v>166</v>
      </c>
      <c r="J100" s="76"/>
      <c r="N100" t="s">
        <v>166</v>
      </c>
    </row>
    <row r="101" spans="2:14" x14ac:dyDescent="0.25">
      <c r="D101" t="s">
        <v>167</v>
      </c>
      <c r="J101" s="76"/>
      <c r="N101" t="s">
        <v>167</v>
      </c>
    </row>
    <row r="102" spans="2:14" x14ac:dyDescent="0.25">
      <c r="J102" s="76"/>
    </row>
    <row r="103" spans="2:14" x14ac:dyDescent="0.25">
      <c r="J103" s="76"/>
    </row>
    <row r="104" spans="2:14" x14ac:dyDescent="0.25">
      <c r="B104" t="s">
        <v>176</v>
      </c>
      <c r="C104" t="s">
        <v>164</v>
      </c>
      <c r="J104" s="76"/>
      <c r="K104" t="s">
        <v>163</v>
      </c>
    </row>
    <row r="105" spans="2:14" x14ac:dyDescent="0.25">
      <c r="D105" s="28" t="s">
        <v>114</v>
      </c>
      <c r="J105" s="76"/>
      <c r="L105" s="28" t="s">
        <v>117</v>
      </c>
    </row>
    <row r="106" spans="2:14" x14ac:dyDescent="0.25">
      <c r="D106" s="28" t="s">
        <v>115</v>
      </c>
      <c r="J106" s="76"/>
      <c r="L106" s="28" t="s">
        <v>159</v>
      </c>
    </row>
    <row r="107" spans="2:14" x14ac:dyDescent="0.25">
      <c r="D107" s="28" t="s">
        <v>116</v>
      </c>
      <c r="J107" s="76"/>
    </row>
    <row r="108" spans="2:14" x14ac:dyDescent="0.25">
      <c r="D108" s="28" t="s">
        <v>168</v>
      </c>
      <c r="J108" s="76"/>
    </row>
    <row r="109" spans="2:14" x14ac:dyDescent="0.25">
      <c r="D109" s="28" t="s">
        <v>169</v>
      </c>
      <c r="J109" s="76"/>
    </row>
    <row r="110" spans="2:14" x14ac:dyDescent="0.25">
      <c r="D110" s="28" t="s">
        <v>170</v>
      </c>
      <c r="J110" s="76"/>
    </row>
    <row r="111" spans="2:14" x14ac:dyDescent="0.25">
      <c r="D111" s="28" t="s">
        <v>171</v>
      </c>
      <c r="J111" s="76"/>
    </row>
    <row r="112" spans="2:14" x14ac:dyDescent="0.25">
      <c r="D112" s="28" t="s">
        <v>158</v>
      </c>
      <c r="J112" s="76"/>
    </row>
  </sheetData>
  <customSheetViews>
    <customSheetView guid="{3B3E6719-EACB-4D2C-89C1-05FFAB6020FD}" scale="85" topLeftCell="A73">
      <selection activeCell="A87" sqref="A87:XFD87"/>
      <pageMargins left="0.7" right="0.7" top="0.75" bottom="0.75" header="0.3" footer="0.3"/>
      <pageSetup orientation="portrait" horizontalDpi="300" verticalDpi="0" r:id="rId1"/>
    </customSheetView>
    <customSheetView guid="{D33AC7AF-C8AB-4CE9-94C7-9237011A5FC3}" scale="85">
      <selection activeCell="K21" sqref="K21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>
      <selection activeCell="K21" sqref="K21"/>
      <pageMargins left="0.7" right="0.7" top="0.75" bottom="0.75" header="0.3" footer="0.3"/>
      <pageSetup orientation="portrait" horizontalDpi="300" verticalDpi="0" r:id="rId3"/>
    </customSheetView>
    <customSheetView guid="{A2C66332-A809-458E-971B-FDB6D62C74C3}" scale="85">
      <selection activeCell="G6" sqref="G6"/>
      <pageMargins left="0.7" right="0.7" top="0.75" bottom="0.75" header="0.3" footer="0.3"/>
      <pageSetup orientation="portrait" horizontalDpi="300" verticalDpi="0" r:id="rId4"/>
    </customSheetView>
    <customSheetView guid="{60D2C030-4E31-4E07-8E1C-44D2EE84B177}" scale="85" topLeftCell="A58">
      <selection activeCell="G38" sqref="G38"/>
      <pageMargins left="0.7" right="0.7" top="0.75" bottom="0.75" header="0.3" footer="0.3"/>
      <pageSetup orientation="portrait" horizontalDpi="300" verticalDpi="0" r:id="rId5"/>
    </customSheetView>
    <customSheetView guid="{7ECC2B8E-6A82-42F5-8AB0-4A51C54EA5EC}" scale="85">
      <selection activeCell="D10" sqref="D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scale="85">
      <selection activeCell="G8" sqref="G8"/>
      <pageMargins left="0.7" right="0.7" top="0.75" bottom="0.75" header="0.3" footer="0.3"/>
      <pageSetup orientation="portrait" horizontalDpi="300" verticalDpi="0" r:id="rId7"/>
    </customSheetView>
    <customSheetView guid="{4E06BDBF-2CED-473B-850B-2A6C7311FF41}" scale="85">
      <selection activeCell="F17" sqref="F17"/>
      <pageMargins left="0.7" right="0.7" top="0.75" bottom="0.75" header="0.3" footer="0.3"/>
      <pageSetup orientation="portrait" horizontalDpi="300" r:id="rId8"/>
    </customSheetView>
    <customSheetView guid="{C94451EF-7A3E-4D72-B5A4-3D1B193192CC}" scale="85">
      <selection activeCell="A87" sqref="A87:XFD87"/>
      <pageMargins left="0.7" right="0.7" top="0.75" bottom="0.75" header="0.3" footer="0.3"/>
      <pageSetup orientation="portrait" horizontalDpi="300" verticalDpi="0" r:id="rId9"/>
    </customSheetView>
    <customSheetView guid="{970EE037-F5E5-47AF-896A-0F6222879EBC}" scale="85">
      <selection activeCell="L14" sqref="L14"/>
      <pageMargins left="0.7" right="0.7" top="0.75" bottom="0.75" header="0.3" footer="0.3"/>
      <pageSetup orientation="portrait" horizontalDpi="300" r:id="rId10"/>
    </customSheetView>
  </customSheetViews>
  <conditionalFormatting sqref="H30:H31 H5:H17">
    <cfRule type="cellIs" dxfId="11" priority="23" operator="equal">
      <formula>1</formula>
    </cfRule>
    <cfRule type="cellIs" dxfId="10" priority="24" operator="lessThan">
      <formula>1</formula>
    </cfRule>
  </conditionalFormatting>
  <conditionalFormatting sqref="R30:R31">
    <cfRule type="cellIs" dxfId="9" priority="13" operator="equal">
      <formula>1</formula>
    </cfRule>
    <cfRule type="cellIs" dxfId="8" priority="14" operator="lessThan">
      <formula>1</formula>
    </cfRule>
  </conditionalFormatting>
  <conditionalFormatting sqref="H18">
    <cfRule type="cellIs" dxfId="7" priority="1" operator="equal">
      <formula>1</formula>
    </cfRule>
    <cfRule type="cellIs" dxfId="6" priority="2" operator="lessThan">
      <formula>1</formula>
    </cfRule>
  </conditionalFormatting>
  <conditionalFormatting sqref="H4">
    <cfRule type="cellIs" dxfId="5" priority="5" operator="equal">
      <formula>1</formula>
    </cfRule>
    <cfRule type="cellIs" dxfId="4" priority="6" operator="lessThan">
      <formula>1</formula>
    </cfRule>
  </conditionalFormatting>
  <pageMargins left="0.7" right="0.7" top="0.75" bottom="0.75" header="0.3" footer="0.3"/>
  <pageSetup orientation="portrait" horizontalDpi="300" verticalDpi="0"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9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3"/>
  <sheetViews>
    <sheetView workbookViewId="0">
      <selection activeCell="A27" sqref="A27:XFD27"/>
    </sheetView>
  </sheetViews>
  <sheetFormatPr defaultRowHeight="15" x14ac:dyDescent="0.25"/>
  <cols>
    <col min="2" max="2" width="11.7109375" bestFit="1" customWidth="1"/>
    <col min="3" max="3" width="18.71093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45</v>
      </c>
    </row>
    <row r="7" spans="2:5" x14ac:dyDescent="0.25">
      <c r="B7" s="2" t="s">
        <v>0</v>
      </c>
      <c r="C7" s="2" t="s">
        <v>1</v>
      </c>
      <c r="D7" s="2" t="s">
        <v>50</v>
      </c>
      <c r="E7" s="4" t="s">
        <v>47</v>
      </c>
    </row>
    <row r="8" spans="2:5" ht="60" x14ac:dyDescent="0.25">
      <c r="B8" s="12">
        <v>1</v>
      </c>
      <c r="C8" s="12" t="s">
        <v>2</v>
      </c>
      <c r="D8" s="12" t="s">
        <v>48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49</v>
      </c>
      <c r="E9" s="13" t="s">
        <v>10</v>
      </c>
    </row>
    <row r="11" spans="2:5" x14ac:dyDescent="0.25">
      <c r="B11" s="1" t="s">
        <v>46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64</v>
      </c>
    </row>
    <row r="15" spans="2:5" x14ac:dyDescent="0.25">
      <c r="B15" s="3">
        <v>3</v>
      </c>
      <c r="C15" s="3" t="s">
        <v>65</v>
      </c>
    </row>
    <row r="16" spans="2:5" x14ac:dyDescent="0.25">
      <c r="B16" s="3">
        <v>4</v>
      </c>
      <c r="C16" s="3" t="s">
        <v>66</v>
      </c>
    </row>
    <row r="17" spans="2:5" x14ac:dyDescent="0.25">
      <c r="B17" s="3">
        <v>5</v>
      </c>
      <c r="C17" s="3" t="s">
        <v>67</v>
      </c>
    </row>
    <row r="18" spans="2:5" x14ac:dyDescent="0.25">
      <c r="B18" s="3">
        <v>6</v>
      </c>
      <c r="C18" s="3" t="s">
        <v>68</v>
      </c>
    </row>
    <row r="19" spans="2:5" x14ac:dyDescent="0.25">
      <c r="B19" s="3">
        <v>7</v>
      </c>
      <c r="C19" s="3" t="s">
        <v>69</v>
      </c>
    </row>
    <row r="20" spans="2:5" x14ac:dyDescent="0.25">
      <c r="B20" s="3">
        <v>8</v>
      </c>
      <c r="C20" s="3" t="s">
        <v>70</v>
      </c>
    </row>
    <row r="21" spans="2:5" x14ac:dyDescent="0.25">
      <c r="B21" s="3">
        <v>9</v>
      </c>
      <c r="C21" s="3" t="s">
        <v>142</v>
      </c>
    </row>
    <row r="22" spans="2:5" x14ac:dyDescent="0.25">
      <c r="B22" s="3">
        <v>10</v>
      </c>
      <c r="C22" s="3" t="s">
        <v>143</v>
      </c>
    </row>
    <row r="23" spans="2:5" x14ac:dyDescent="0.25">
      <c r="B23" s="3">
        <v>11</v>
      </c>
      <c r="C23" s="3" t="s">
        <v>760</v>
      </c>
    </row>
    <row r="24" spans="2:5" x14ac:dyDescent="0.25">
      <c r="B24" s="3">
        <v>12</v>
      </c>
      <c r="C24" s="3" t="s">
        <v>761</v>
      </c>
    </row>
    <row r="25" spans="2:5" x14ac:dyDescent="0.25">
      <c r="B25" s="3">
        <v>13</v>
      </c>
      <c r="C25" s="3" t="s">
        <v>762</v>
      </c>
    </row>
    <row r="26" spans="2:5" x14ac:dyDescent="0.25">
      <c r="B26" s="3">
        <v>14</v>
      </c>
      <c r="C26" s="3" t="s">
        <v>763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3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73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93</v>
      </c>
    </row>
    <row r="37" spans="2:3" x14ac:dyDescent="0.25">
      <c r="B37" s="2">
        <v>7</v>
      </c>
      <c r="C37" s="3" t="s">
        <v>74</v>
      </c>
    </row>
    <row r="39" spans="2:3" x14ac:dyDescent="0.25">
      <c r="B39" s="9" t="s">
        <v>149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140</v>
      </c>
    </row>
    <row r="42" spans="2:3" x14ac:dyDescent="0.25">
      <c r="B42" s="2">
        <v>2</v>
      </c>
      <c r="C42" s="3" t="s">
        <v>150</v>
      </c>
    </row>
    <row r="43" spans="2:3" x14ac:dyDescent="0.25">
      <c r="B43" s="2">
        <v>3</v>
      </c>
      <c r="C43" s="3" t="s">
        <v>151</v>
      </c>
    </row>
    <row r="45" spans="2:3" x14ac:dyDescent="0.25">
      <c r="B45" s="1" t="s">
        <v>77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177</v>
      </c>
    </row>
    <row r="48" spans="2:3" x14ac:dyDescent="0.25">
      <c r="B48" s="2">
        <v>2</v>
      </c>
      <c r="C48" s="3" t="s">
        <v>178</v>
      </c>
    </row>
    <row r="50" spans="2:3" x14ac:dyDescent="0.25">
      <c r="B50" s="1" t="s">
        <v>145</v>
      </c>
    </row>
    <row r="51" spans="2:3" x14ac:dyDescent="0.25">
      <c r="B51" s="2" t="s">
        <v>0</v>
      </c>
      <c r="C51" s="2" t="s">
        <v>17</v>
      </c>
    </row>
    <row r="52" spans="2:3" x14ac:dyDescent="0.25">
      <c r="B52" s="2">
        <v>1</v>
      </c>
      <c r="C52" s="3" t="s">
        <v>147</v>
      </c>
    </row>
    <row r="53" spans="2:3" x14ac:dyDescent="0.25">
      <c r="B53" s="2">
        <v>2</v>
      </c>
      <c r="C53" s="3" t="s">
        <v>185</v>
      </c>
    </row>
  </sheetData>
  <customSheetViews>
    <customSheetView guid="{3B3E6719-EACB-4D2C-89C1-05FFAB6020FD}">
      <selection activeCell="A27" sqref="A27:XFD27"/>
      <pageMargins left="0.7" right="0.7" top="0.75" bottom="0.75" header="0.3" footer="0.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7ECC2B8E-6A82-42F5-8AB0-4A51C54EA5EC}" topLeftCell="A7">
      <selection activeCell="C39" sqref="C39"/>
      <pageMargins left="0.7" right="0.7" top="0.75" bottom="0.75" header="0.3" footer="0.3"/>
    </customSheetView>
    <customSheetView guid="{7E0EA425-A420-4443-B9E0-CDF0AA9E5D09}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2"/>
    </customSheetView>
    <customSheetView guid="{C94451EF-7A3E-4D72-B5A4-3D1B193192CC}" topLeftCell="A16">
      <selection activeCell="A27" sqref="A27:XFD27"/>
      <pageMargins left="0.7" right="0.7" top="0.75" bottom="0.75" header="0.3" footer="0.3"/>
    </customSheetView>
    <customSheetView guid="{970EE037-F5E5-47AF-896A-0F6222879EBC}" topLeftCell="A28">
      <selection activeCell="D23" sqref="D23"/>
      <pageMargins left="0.7" right="0.7" top="0.75" bottom="0.75" header="0.3" footer="0.3"/>
      <pageSetup orientation="portrait" horizontalDpi="300" verticalDpi="0" r:id="rId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9"/>
  <sheetViews>
    <sheetView workbookViewId="0">
      <selection activeCell="D14" sqref="D14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84</v>
      </c>
    </row>
    <row r="2" spans="1:9" x14ac:dyDescent="0.25">
      <c r="B2" s="22" t="s">
        <v>86</v>
      </c>
      <c r="C2" t="s">
        <v>87</v>
      </c>
    </row>
    <row r="3" spans="1:9" x14ac:dyDescent="0.25">
      <c r="B3" s="22" t="s">
        <v>89</v>
      </c>
      <c r="C3" t="s">
        <v>88</v>
      </c>
    </row>
    <row r="4" spans="1:9" x14ac:dyDescent="0.25">
      <c r="B4" s="22"/>
    </row>
    <row r="5" spans="1:9" x14ac:dyDescent="0.25">
      <c r="B5" s="21" t="s">
        <v>82</v>
      </c>
    </row>
    <row r="6" spans="1:9" x14ac:dyDescent="0.25">
      <c r="B6" s="22" t="s">
        <v>90</v>
      </c>
      <c r="C6" t="s">
        <v>91</v>
      </c>
    </row>
    <row r="7" spans="1:9" x14ac:dyDescent="0.25">
      <c r="B7" s="22"/>
    </row>
    <row r="8" spans="1:9" x14ac:dyDescent="0.25">
      <c r="B8" s="21" t="s">
        <v>83</v>
      </c>
      <c r="C8" t="s">
        <v>85</v>
      </c>
    </row>
    <row r="11" spans="1:9" x14ac:dyDescent="0.25">
      <c r="B11" s="24" t="s">
        <v>56</v>
      </c>
      <c r="C11" s="24" t="s">
        <v>8</v>
      </c>
      <c r="D11" s="24" t="s">
        <v>98</v>
      </c>
      <c r="E11" s="24" t="s">
        <v>99</v>
      </c>
      <c r="F11" s="24" t="s">
        <v>100</v>
      </c>
    </row>
    <row r="12" spans="1:9" x14ac:dyDescent="0.25">
      <c r="B12" s="25" t="s">
        <v>206</v>
      </c>
      <c r="C12" s="3" t="s">
        <v>105</v>
      </c>
      <c r="D12" s="3" t="s">
        <v>95</v>
      </c>
      <c r="E12" s="3">
        <v>0.65</v>
      </c>
      <c r="F12" s="3" t="s">
        <v>102</v>
      </c>
      <c r="I12" t="s">
        <v>101</v>
      </c>
    </row>
    <row r="13" spans="1:9" x14ac:dyDescent="0.25">
      <c r="B13" s="26"/>
      <c r="C13" s="3" t="s">
        <v>207</v>
      </c>
      <c r="D13" s="14" t="s">
        <v>96</v>
      </c>
      <c r="E13" s="3">
        <v>1.6</v>
      </c>
      <c r="F13" s="3" t="s">
        <v>102</v>
      </c>
      <c r="I13" t="s">
        <v>103</v>
      </c>
    </row>
    <row r="14" spans="1:9" x14ac:dyDescent="0.25">
      <c r="B14" s="26"/>
      <c r="C14" s="3" t="s">
        <v>104</v>
      </c>
      <c r="D14" s="14" t="s">
        <v>94</v>
      </c>
      <c r="E14" s="3">
        <v>0.75</v>
      </c>
      <c r="F14" s="3" t="s">
        <v>102</v>
      </c>
      <c r="I14" t="s">
        <v>104</v>
      </c>
    </row>
    <row r="15" spans="1:9" x14ac:dyDescent="0.25">
      <c r="B15" s="27"/>
      <c r="C15" s="3" t="s">
        <v>105</v>
      </c>
      <c r="D15" s="14" t="s">
        <v>136</v>
      </c>
      <c r="E15" s="3">
        <v>1.2</v>
      </c>
      <c r="F15" s="3" t="s">
        <v>102</v>
      </c>
      <c r="I15" t="s">
        <v>105</v>
      </c>
    </row>
    <row r="16" spans="1:9" x14ac:dyDescent="0.25">
      <c r="I16" t="s">
        <v>207</v>
      </c>
    </row>
    <row r="18" spans="1:1" x14ac:dyDescent="0.25">
      <c r="A18" s="1" t="s">
        <v>111</v>
      </c>
    </row>
    <row r="38" spans="2:2" x14ac:dyDescent="0.25">
      <c r="B38" t="s">
        <v>112</v>
      </c>
    </row>
    <row r="39" spans="2:2" x14ac:dyDescent="0.25">
      <c r="B39" t="s">
        <v>113</v>
      </c>
    </row>
  </sheetData>
  <customSheetViews>
    <customSheetView guid="{3B3E6719-EACB-4D2C-89C1-05FFAB6020FD}">
      <selection activeCell="D14" sqref="D14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60D2C030-4E31-4E07-8E1C-44D2EE84B177}">
      <selection activeCell="I27" sqref="I27"/>
      <pageMargins left="0.7" right="0.7" top="0.75" bottom="0.75" header="0.3" footer="0.3"/>
    </customSheetView>
    <customSheetView guid="{7ECC2B8E-6A82-42F5-8AB0-4A51C54EA5EC}">
      <selection activeCell="C12" sqref="C12"/>
      <pageMargins left="0.7" right="0.7" top="0.75" bottom="0.75" header="0.3" footer="0.3"/>
    </customSheetView>
    <customSheetView guid="{7E0EA425-A420-4443-B9E0-CDF0AA9E5D09}">
      <selection activeCell="C12" sqref="C12"/>
      <pageMargins left="0.7" right="0.7" top="0.75" bottom="0.75" header="0.3" footer="0.3"/>
    </customSheetView>
    <customSheetView guid="{4E06BDBF-2CED-473B-850B-2A6C7311FF41}">
      <selection activeCell="B11" sqref="B11:F15"/>
      <pageMargins left="0.7" right="0.7" top="0.75" bottom="0.75" header="0.3" footer="0.3"/>
    </customSheetView>
    <customSheetView guid="{C94451EF-7A3E-4D72-B5A4-3D1B193192CC}">
      <selection activeCell="D14" sqref="D14"/>
      <pageMargins left="0.7" right="0.7" top="0.75" bottom="0.75" header="0.3" footer="0.3"/>
    </customSheetView>
    <customSheetView guid="{970EE037-F5E5-47AF-896A-0F6222879EBC}">
      <selection activeCell="B11" sqref="B11:F1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3B3E6719-EACB-4D2C-89C1-05FFAB6020FD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7E0EA425-A420-4443-B9E0-CDF0AA9E5D09}">
      <selection activeCell="P30" sqref="P30"/>
      <pageMargins left="0.7" right="0.7" top="0.75" bottom="0.75" header="0.3" footer="0.3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80"/>
  <sheetViews>
    <sheetView workbookViewId="0">
      <selection activeCell="A44" sqref="A44:XFD44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18" x14ac:dyDescent="0.25">
      <c r="A1" s="75" t="s">
        <v>179</v>
      </c>
      <c r="B1" s="75" t="s">
        <v>164</v>
      </c>
      <c r="J1" s="76"/>
      <c r="K1" s="75" t="s">
        <v>179</v>
      </c>
      <c r="L1" s="75" t="s">
        <v>163</v>
      </c>
    </row>
    <row r="2" spans="1:18" x14ac:dyDescent="0.25">
      <c r="J2" s="76"/>
    </row>
    <row r="3" spans="1:18" x14ac:dyDescent="0.25">
      <c r="A3" s="1" t="s">
        <v>38</v>
      </c>
      <c r="B3" s="34">
        <v>43972</v>
      </c>
      <c r="D3" s="34">
        <v>44002</v>
      </c>
      <c r="F3" s="6"/>
      <c r="J3" s="76"/>
      <c r="K3" s="1" t="s">
        <v>38</v>
      </c>
      <c r="L3" s="34">
        <v>43952</v>
      </c>
      <c r="N3" s="34">
        <v>43955</v>
      </c>
      <c r="P3" s="6"/>
    </row>
    <row r="4" spans="1:18" x14ac:dyDescent="0.25">
      <c r="A4" s="1" t="s">
        <v>30</v>
      </c>
      <c r="B4" s="7">
        <v>2</v>
      </c>
      <c r="J4" s="76"/>
      <c r="K4" s="1" t="s">
        <v>30</v>
      </c>
      <c r="L4" s="7">
        <v>2</v>
      </c>
    </row>
    <row r="5" spans="1:18" x14ac:dyDescent="0.25">
      <c r="A5" s="1" t="s">
        <v>137</v>
      </c>
      <c r="B5" s="7">
        <v>1</v>
      </c>
      <c r="C5" t="s">
        <v>173</v>
      </c>
      <c r="J5" s="76"/>
      <c r="K5" s="1" t="s">
        <v>137</v>
      </c>
      <c r="L5" s="7">
        <v>1</v>
      </c>
      <c r="M5" t="s">
        <v>173</v>
      </c>
    </row>
    <row r="6" spans="1:18" x14ac:dyDescent="0.25">
      <c r="A6" s="1" t="s">
        <v>108</v>
      </c>
      <c r="B6">
        <v>1</v>
      </c>
      <c r="J6" s="76"/>
      <c r="K6" s="1" t="s">
        <v>108</v>
      </c>
      <c r="L6">
        <v>1</v>
      </c>
    </row>
    <row r="7" spans="1:18" x14ac:dyDescent="0.25">
      <c r="A7" s="1"/>
      <c r="J7" s="76"/>
      <c r="K7" s="1"/>
    </row>
    <row r="8" spans="1:18" x14ac:dyDescent="0.25">
      <c r="B8" s="1" t="s">
        <v>190</v>
      </c>
      <c r="J8" s="76"/>
      <c r="L8" s="1" t="s">
        <v>190</v>
      </c>
    </row>
    <row r="9" spans="1:18" ht="75" x14ac:dyDescent="0.25">
      <c r="C9" s="54" t="s">
        <v>25</v>
      </c>
      <c r="D9" s="54" t="s">
        <v>26</v>
      </c>
      <c r="E9" s="54" t="s">
        <v>27</v>
      </c>
      <c r="F9" s="54" t="s">
        <v>28</v>
      </c>
      <c r="G9" s="8" t="s">
        <v>99</v>
      </c>
      <c r="H9" s="8" t="s">
        <v>29</v>
      </c>
      <c r="J9" s="76"/>
      <c r="M9" s="54" t="s">
        <v>25</v>
      </c>
      <c r="N9" s="54" t="s">
        <v>26</v>
      </c>
      <c r="O9" s="54" t="s">
        <v>27</v>
      </c>
      <c r="P9" s="54" t="s">
        <v>28</v>
      </c>
      <c r="Q9" s="8" t="s">
        <v>99</v>
      </c>
      <c r="R9" s="8" t="s">
        <v>29</v>
      </c>
    </row>
    <row r="10" spans="1:18" x14ac:dyDescent="0.25">
      <c r="C10" s="59">
        <v>1</v>
      </c>
      <c r="D10" s="59" t="s">
        <v>3</v>
      </c>
      <c r="E10" s="59">
        <v>11319</v>
      </c>
      <c r="F10" s="59">
        <v>0</v>
      </c>
      <c r="G10" s="59">
        <v>25.153333333333332</v>
      </c>
      <c r="H10" s="40">
        <v>0</v>
      </c>
      <c r="J10" s="76"/>
      <c r="M10" s="59">
        <v>1</v>
      </c>
      <c r="N10" s="59" t="s">
        <v>3</v>
      </c>
      <c r="O10" s="59">
        <v>3852.2249999999999</v>
      </c>
      <c r="P10" s="59">
        <v>0</v>
      </c>
      <c r="Q10" s="59">
        <v>8.5604999999999993</v>
      </c>
      <c r="R10" s="40">
        <v>0</v>
      </c>
    </row>
    <row r="11" spans="1:18" x14ac:dyDescent="0.25">
      <c r="C11" s="59">
        <v>2</v>
      </c>
      <c r="D11" s="59" t="s">
        <v>2</v>
      </c>
      <c r="E11" s="59">
        <v>136</v>
      </c>
      <c r="F11" s="59">
        <v>18</v>
      </c>
      <c r="G11" s="59">
        <v>1.0461538461538462</v>
      </c>
      <c r="H11" s="40">
        <v>0.13235294117647059</v>
      </c>
      <c r="J11" s="76"/>
      <c r="M11" s="59">
        <v>2</v>
      </c>
      <c r="N11" s="59" t="s">
        <v>2</v>
      </c>
      <c r="O11" s="59">
        <v>299</v>
      </c>
      <c r="P11" s="59">
        <v>0</v>
      </c>
      <c r="Q11" s="59">
        <v>2.2999999999999998</v>
      </c>
      <c r="R11" s="40">
        <v>0</v>
      </c>
    </row>
    <row r="12" spans="1:18" x14ac:dyDescent="0.25">
      <c r="C12" s="32"/>
      <c r="D12" s="30"/>
      <c r="E12" s="30"/>
      <c r="F12" s="30"/>
      <c r="G12" s="33"/>
      <c r="J12" s="76"/>
      <c r="M12" s="32"/>
      <c r="N12" s="30"/>
      <c r="O12" s="30"/>
      <c r="P12" s="30"/>
      <c r="Q12" s="33"/>
    </row>
    <row r="13" spans="1:18" x14ac:dyDescent="0.25">
      <c r="B13" s="1" t="s">
        <v>191</v>
      </c>
      <c r="J13" s="76"/>
      <c r="L13" s="1" t="s">
        <v>191</v>
      </c>
    </row>
    <row r="14" spans="1:18" ht="45" x14ac:dyDescent="0.25">
      <c r="C14" s="54" t="s">
        <v>25</v>
      </c>
      <c r="D14" s="54" t="s">
        <v>31</v>
      </c>
      <c r="E14" s="8" t="s">
        <v>32</v>
      </c>
      <c r="F14" s="8" t="s">
        <v>33</v>
      </c>
      <c r="G14" s="8" t="s">
        <v>134</v>
      </c>
      <c r="H14" s="8" t="s">
        <v>135</v>
      </c>
      <c r="J14" s="76"/>
      <c r="M14" s="54" t="s">
        <v>25</v>
      </c>
      <c r="N14" s="54" t="s">
        <v>31</v>
      </c>
      <c r="O14" s="8" t="s">
        <v>32</v>
      </c>
      <c r="P14" s="8" t="s">
        <v>33</v>
      </c>
      <c r="Q14" s="8" t="s">
        <v>134</v>
      </c>
      <c r="R14" s="8" t="s">
        <v>135</v>
      </c>
    </row>
    <row r="15" spans="1:18" x14ac:dyDescent="0.25">
      <c r="C15" s="59">
        <v>1</v>
      </c>
      <c r="D15" s="28" t="s">
        <v>114</v>
      </c>
      <c r="E15" s="59">
        <v>0</v>
      </c>
      <c r="F15" s="59">
        <v>0</v>
      </c>
      <c r="G15" s="59">
        <v>0</v>
      </c>
      <c r="H15" s="59">
        <v>0</v>
      </c>
      <c r="J15" s="76"/>
      <c r="M15" s="59">
        <v>1</v>
      </c>
      <c r="N15" s="28" t="s">
        <v>114</v>
      </c>
      <c r="O15" s="59">
        <v>0</v>
      </c>
      <c r="P15" s="59">
        <v>0</v>
      </c>
      <c r="Q15" s="59">
        <v>0</v>
      </c>
      <c r="R15" s="59">
        <v>0</v>
      </c>
    </row>
    <row r="16" spans="1:18" x14ac:dyDescent="0.25">
      <c r="C16" s="59">
        <v>2</v>
      </c>
      <c r="D16" s="28" t="s">
        <v>115</v>
      </c>
      <c r="E16" s="59">
        <v>0</v>
      </c>
      <c r="F16" s="59">
        <v>0</v>
      </c>
      <c r="G16" s="59">
        <v>0</v>
      </c>
      <c r="H16" s="59">
        <v>0</v>
      </c>
      <c r="J16" s="76"/>
      <c r="M16" s="59">
        <v>2</v>
      </c>
      <c r="N16" s="28" t="s">
        <v>115</v>
      </c>
      <c r="O16" s="59">
        <v>0</v>
      </c>
      <c r="P16" s="59">
        <v>0</v>
      </c>
      <c r="Q16" s="59">
        <v>0</v>
      </c>
      <c r="R16" s="59">
        <v>0</v>
      </c>
    </row>
    <row r="17" spans="2:18" x14ac:dyDescent="0.25">
      <c r="C17" s="59">
        <v>3</v>
      </c>
      <c r="D17" s="28" t="s">
        <v>116</v>
      </c>
      <c r="E17" s="59">
        <v>0</v>
      </c>
      <c r="F17" s="59">
        <v>0</v>
      </c>
      <c r="G17" s="59">
        <v>0</v>
      </c>
      <c r="H17" s="59">
        <v>0</v>
      </c>
      <c r="J17" s="76"/>
      <c r="M17" s="59">
        <v>3</v>
      </c>
      <c r="N17" s="28" t="s">
        <v>116</v>
      </c>
      <c r="O17" s="59">
        <v>0</v>
      </c>
      <c r="P17" s="59">
        <v>0</v>
      </c>
      <c r="Q17" s="59">
        <v>0</v>
      </c>
      <c r="R17" s="59">
        <v>0</v>
      </c>
    </row>
    <row r="18" spans="2:18" x14ac:dyDescent="0.25">
      <c r="C18" s="59">
        <v>4</v>
      </c>
      <c r="D18" s="28" t="s">
        <v>117</v>
      </c>
      <c r="E18" s="59">
        <v>0</v>
      </c>
      <c r="F18" s="59">
        <v>0</v>
      </c>
      <c r="G18" s="59">
        <v>0</v>
      </c>
      <c r="H18" s="59">
        <v>0</v>
      </c>
      <c r="J18" s="76"/>
      <c r="M18" s="59">
        <v>4</v>
      </c>
      <c r="N18" s="28" t="s">
        <v>117</v>
      </c>
      <c r="O18" s="59">
        <v>0</v>
      </c>
      <c r="P18" s="59">
        <v>0</v>
      </c>
      <c r="Q18" s="59">
        <v>0</v>
      </c>
      <c r="R18" s="59">
        <v>0</v>
      </c>
    </row>
    <row r="19" spans="2:18" x14ac:dyDescent="0.25">
      <c r="C19" s="59">
        <v>5</v>
      </c>
      <c r="D19" s="28" t="s">
        <v>168</v>
      </c>
      <c r="E19" s="59">
        <v>0</v>
      </c>
      <c r="F19" s="59">
        <v>0</v>
      </c>
      <c r="G19" s="59">
        <v>0</v>
      </c>
      <c r="H19" s="59">
        <v>0</v>
      </c>
      <c r="J19" s="76"/>
      <c r="M19" s="59">
        <v>5</v>
      </c>
      <c r="N19" s="28" t="s">
        <v>168</v>
      </c>
      <c r="O19" s="59">
        <v>0</v>
      </c>
      <c r="P19" s="59">
        <v>0</v>
      </c>
      <c r="Q19" s="59">
        <v>0</v>
      </c>
      <c r="R19" s="59">
        <v>0</v>
      </c>
    </row>
    <row r="20" spans="2:18" x14ac:dyDescent="0.25">
      <c r="C20" s="59">
        <v>6</v>
      </c>
      <c r="D20" s="28" t="s">
        <v>169</v>
      </c>
      <c r="E20" s="59">
        <v>0</v>
      </c>
      <c r="F20" s="59">
        <v>0</v>
      </c>
      <c r="G20" s="59">
        <v>0</v>
      </c>
      <c r="H20" s="59">
        <v>0</v>
      </c>
      <c r="J20" s="76"/>
      <c r="M20" s="59">
        <v>6</v>
      </c>
      <c r="N20" s="28" t="s">
        <v>169</v>
      </c>
      <c r="O20" s="59">
        <v>0</v>
      </c>
      <c r="P20" s="59">
        <v>0</v>
      </c>
      <c r="Q20" s="59">
        <v>0</v>
      </c>
      <c r="R20" s="59">
        <v>0</v>
      </c>
    </row>
    <row r="21" spans="2:18" x14ac:dyDescent="0.25">
      <c r="C21" s="59">
        <v>7</v>
      </c>
      <c r="D21" s="28" t="s">
        <v>170</v>
      </c>
      <c r="E21" s="59">
        <v>0</v>
      </c>
      <c r="F21" s="59">
        <v>18</v>
      </c>
      <c r="G21" s="59">
        <v>0</v>
      </c>
      <c r="H21" s="59">
        <v>0.13846153846153847</v>
      </c>
      <c r="J21" s="76"/>
      <c r="M21" s="59">
        <v>7</v>
      </c>
      <c r="N21" s="28" t="s">
        <v>170</v>
      </c>
      <c r="O21" s="59">
        <v>0</v>
      </c>
      <c r="P21" s="59">
        <v>0</v>
      </c>
      <c r="Q21" s="59">
        <v>0</v>
      </c>
      <c r="R21" s="59">
        <v>0</v>
      </c>
    </row>
    <row r="22" spans="2:18" x14ac:dyDescent="0.25">
      <c r="C22" s="59">
        <v>8</v>
      </c>
      <c r="D22" s="28" t="s">
        <v>171</v>
      </c>
      <c r="E22" s="59">
        <v>0</v>
      </c>
      <c r="F22" s="59">
        <v>0</v>
      </c>
      <c r="G22" s="59">
        <v>0</v>
      </c>
      <c r="H22" s="59">
        <v>0</v>
      </c>
      <c r="J22" s="76"/>
      <c r="M22" s="59">
        <v>8</v>
      </c>
      <c r="N22" s="28" t="s">
        <v>171</v>
      </c>
      <c r="O22" s="59">
        <v>0</v>
      </c>
      <c r="P22" s="59">
        <v>0</v>
      </c>
      <c r="Q22" s="59">
        <v>0</v>
      </c>
      <c r="R22" s="59">
        <v>0</v>
      </c>
    </row>
    <row r="23" spans="2:18" x14ac:dyDescent="0.25">
      <c r="C23" s="59">
        <v>9</v>
      </c>
      <c r="D23" s="28" t="s">
        <v>159</v>
      </c>
      <c r="E23" s="59">
        <v>0</v>
      </c>
      <c r="F23" s="59">
        <v>0</v>
      </c>
      <c r="G23" s="59">
        <v>0</v>
      </c>
      <c r="H23" s="59">
        <v>0</v>
      </c>
      <c r="J23" s="76"/>
      <c r="M23" s="59">
        <v>9</v>
      </c>
      <c r="N23" s="28" t="s">
        <v>159</v>
      </c>
      <c r="O23" s="59">
        <v>0</v>
      </c>
      <c r="P23" s="59">
        <v>0</v>
      </c>
      <c r="Q23" s="59">
        <v>0</v>
      </c>
      <c r="R23" s="59">
        <v>0</v>
      </c>
    </row>
    <row r="24" spans="2:18" x14ac:dyDescent="0.25">
      <c r="C24" s="59">
        <v>10</v>
      </c>
      <c r="D24" s="28" t="s">
        <v>158</v>
      </c>
      <c r="E24" s="59">
        <v>0</v>
      </c>
      <c r="F24" s="59">
        <v>0</v>
      </c>
      <c r="G24" s="59">
        <v>0</v>
      </c>
      <c r="H24" s="59">
        <v>0</v>
      </c>
      <c r="J24" s="76"/>
      <c r="M24" s="59">
        <v>10</v>
      </c>
      <c r="N24" s="28" t="s">
        <v>158</v>
      </c>
      <c r="O24" s="59">
        <v>0</v>
      </c>
      <c r="P24" s="59">
        <v>0</v>
      </c>
      <c r="Q24" s="59">
        <v>0</v>
      </c>
      <c r="R24" s="59">
        <v>0</v>
      </c>
    </row>
    <row r="25" spans="2:18" x14ac:dyDescent="0.25">
      <c r="C25" s="29"/>
      <c r="D25" s="29"/>
      <c r="E25" s="30"/>
      <c r="F25" s="30"/>
      <c r="J25" s="76"/>
      <c r="M25" s="29"/>
      <c r="N25" s="29"/>
      <c r="O25" s="30"/>
      <c r="P25" s="30"/>
    </row>
    <row r="26" spans="2:18" x14ac:dyDescent="0.25">
      <c r="B26" s="1" t="s">
        <v>34</v>
      </c>
      <c r="J26" s="76"/>
      <c r="L26" s="1" t="s">
        <v>34</v>
      </c>
    </row>
    <row r="27" spans="2:18" x14ac:dyDescent="0.25">
      <c r="C27" s="54" t="s">
        <v>25</v>
      </c>
      <c r="D27" s="49" t="s">
        <v>35</v>
      </c>
      <c r="E27" s="50"/>
      <c r="F27" s="51"/>
      <c r="J27" s="76"/>
      <c r="M27" s="54" t="s">
        <v>25</v>
      </c>
      <c r="N27" s="49" t="s">
        <v>35</v>
      </c>
      <c r="O27" s="50"/>
      <c r="P27" s="51"/>
    </row>
    <row r="28" spans="2:18" x14ac:dyDescent="0.25">
      <c r="C28" s="59">
        <v>1</v>
      </c>
      <c r="D28" s="36" t="s">
        <v>61</v>
      </c>
      <c r="E28" s="37"/>
      <c r="F28" s="38"/>
      <c r="J28" s="76"/>
      <c r="M28" s="59">
        <v>1</v>
      </c>
      <c r="N28" s="36" t="s">
        <v>61</v>
      </c>
      <c r="O28" s="37"/>
      <c r="P28" s="38"/>
    </row>
    <row r="29" spans="2:18" x14ac:dyDescent="0.25">
      <c r="C29" s="59">
        <v>2</v>
      </c>
      <c r="D29" s="36" t="s">
        <v>61</v>
      </c>
      <c r="E29" s="37"/>
      <c r="F29" s="38"/>
      <c r="J29" s="76"/>
      <c r="M29" s="59">
        <v>2</v>
      </c>
      <c r="N29" s="36" t="s">
        <v>61</v>
      </c>
      <c r="O29" s="37"/>
      <c r="P29" s="38"/>
    </row>
    <row r="30" spans="2:18" x14ac:dyDescent="0.25">
      <c r="C30" s="59">
        <v>3</v>
      </c>
      <c r="D30" s="36" t="s">
        <v>61</v>
      </c>
      <c r="E30" s="37"/>
      <c r="F30" s="38"/>
      <c r="J30" s="76"/>
      <c r="M30" s="59">
        <v>3</v>
      </c>
      <c r="N30" s="36" t="s">
        <v>61</v>
      </c>
      <c r="O30" s="37"/>
      <c r="P30" s="38"/>
    </row>
    <row r="31" spans="2:18" x14ac:dyDescent="0.25">
      <c r="C31" s="59">
        <v>4</v>
      </c>
      <c r="D31" s="36" t="s">
        <v>61</v>
      </c>
      <c r="E31" s="37"/>
      <c r="F31" s="38"/>
      <c r="J31" s="76"/>
      <c r="M31" s="59">
        <v>4</v>
      </c>
      <c r="N31" s="36" t="s">
        <v>61</v>
      </c>
      <c r="O31" s="37"/>
      <c r="P31" s="38"/>
    </row>
    <row r="32" spans="2:18" x14ac:dyDescent="0.25">
      <c r="J32" s="76"/>
    </row>
    <row r="33" spans="2:16" x14ac:dyDescent="0.25">
      <c r="B33" s="1" t="s">
        <v>192</v>
      </c>
      <c r="J33" s="76"/>
      <c r="L33" s="1" t="s">
        <v>192</v>
      </c>
    </row>
    <row r="34" spans="2:16" ht="30" x14ac:dyDescent="0.25">
      <c r="C34" s="54" t="s">
        <v>25</v>
      </c>
      <c r="D34" s="54" t="s">
        <v>31</v>
      </c>
      <c r="E34" s="8" t="s">
        <v>132</v>
      </c>
      <c r="F34" s="8" t="s">
        <v>133</v>
      </c>
      <c r="J34" s="76"/>
      <c r="M34" s="54" t="s">
        <v>25</v>
      </c>
      <c r="N34" s="54" t="s">
        <v>31</v>
      </c>
      <c r="O34" s="8" t="s">
        <v>132</v>
      </c>
      <c r="P34" s="8" t="s">
        <v>133</v>
      </c>
    </row>
    <row r="35" spans="2:16" x14ac:dyDescent="0.25">
      <c r="C35" s="59">
        <v>1</v>
      </c>
      <c r="D35" s="28" t="s">
        <v>114</v>
      </c>
      <c r="E35" s="58">
        <v>0</v>
      </c>
      <c r="F35" s="59">
        <v>0</v>
      </c>
      <c r="J35" s="76"/>
      <c r="M35" s="59">
        <v>1</v>
      </c>
      <c r="N35" s="28" t="s">
        <v>114</v>
      </c>
      <c r="O35" s="58">
        <v>0</v>
      </c>
      <c r="P35" s="59">
        <v>0</v>
      </c>
    </row>
    <row r="36" spans="2:16" x14ac:dyDescent="0.25">
      <c r="C36" s="59">
        <v>2</v>
      </c>
      <c r="D36" s="28" t="s">
        <v>115</v>
      </c>
      <c r="E36" s="58">
        <v>0</v>
      </c>
      <c r="F36" s="59">
        <v>0</v>
      </c>
      <c r="J36" s="76"/>
      <c r="M36" s="59">
        <v>2</v>
      </c>
      <c r="N36" s="28" t="s">
        <v>115</v>
      </c>
      <c r="O36" s="58">
        <v>0</v>
      </c>
      <c r="P36" s="59">
        <v>0</v>
      </c>
    </row>
    <row r="37" spans="2:16" x14ac:dyDescent="0.25">
      <c r="C37" s="59">
        <v>3</v>
      </c>
      <c r="D37" s="28" t="s">
        <v>116</v>
      </c>
      <c r="E37" s="58">
        <v>0</v>
      </c>
      <c r="F37" s="59">
        <v>0</v>
      </c>
      <c r="J37" s="76"/>
      <c r="M37" s="59">
        <v>3</v>
      </c>
      <c r="N37" s="28" t="s">
        <v>116</v>
      </c>
      <c r="O37" s="58">
        <v>0</v>
      </c>
      <c r="P37" s="59">
        <v>0</v>
      </c>
    </row>
    <row r="38" spans="2:16" x14ac:dyDescent="0.25">
      <c r="C38" s="59">
        <v>4</v>
      </c>
      <c r="D38" s="28" t="s">
        <v>117</v>
      </c>
      <c r="E38" s="58">
        <v>0</v>
      </c>
      <c r="F38" s="59">
        <v>0</v>
      </c>
      <c r="J38" s="76"/>
      <c r="M38" s="59">
        <v>4</v>
      </c>
      <c r="N38" s="28" t="s">
        <v>117</v>
      </c>
      <c r="O38" s="58">
        <v>0</v>
      </c>
      <c r="P38" s="59">
        <v>0</v>
      </c>
    </row>
    <row r="39" spans="2:16" x14ac:dyDescent="0.25">
      <c r="C39" s="59">
        <v>5</v>
      </c>
      <c r="D39" s="28" t="s">
        <v>168</v>
      </c>
      <c r="E39" s="58">
        <v>0</v>
      </c>
      <c r="F39" s="59">
        <v>0</v>
      </c>
      <c r="J39" s="76"/>
      <c r="M39" s="59">
        <v>5</v>
      </c>
      <c r="N39" s="28" t="s">
        <v>168</v>
      </c>
      <c r="O39" s="58">
        <v>0</v>
      </c>
      <c r="P39" s="59">
        <v>0</v>
      </c>
    </row>
    <row r="40" spans="2:16" x14ac:dyDescent="0.25">
      <c r="C40" s="59">
        <v>6</v>
      </c>
      <c r="D40" s="28" t="s">
        <v>169</v>
      </c>
      <c r="E40" s="58">
        <v>0</v>
      </c>
      <c r="F40" s="59">
        <v>0</v>
      </c>
      <c r="J40" s="76"/>
      <c r="M40" s="59">
        <v>6</v>
      </c>
      <c r="N40" s="28" t="s">
        <v>169</v>
      </c>
      <c r="O40" s="58">
        <v>0</v>
      </c>
      <c r="P40" s="59">
        <v>0</v>
      </c>
    </row>
    <row r="41" spans="2:16" x14ac:dyDescent="0.25">
      <c r="C41" s="59">
        <v>7</v>
      </c>
      <c r="D41" s="28" t="s">
        <v>170</v>
      </c>
      <c r="E41" s="58">
        <v>0</v>
      </c>
      <c r="F41" s="59">
        <v>0</v>
      </c>
      <c r="J41" s="76"/>
      <c r="M41" s="59">
        <v>7</v>
      </c>
      <c r="N41" s="28" t="s">
        <v>170</v>
      </c>
      <c r="O41" s="58">
        <v>0</v>
      </c>
      <c r="P41" s="59">
        <v>0</v>
      </c>
    </row>
    <row r="42" spans="2:16" x14ac:dyDescent="0.25">
      <c r="C42" s="59">
        <v>8</v>
      </c>
      <c r="D42" s="28" t="s">
        <v>171</v>
      </c>
      <c r="E42" s="58">
        <v>0</v>
      </c>
      <c r="F42" s="59">
        <v>0</v>
      </c>
      <c r="J42" s="76"/>
      <c r="M42" s="59">
        <v>8</v>
      </c>
      <c r="N42" s="28" t="s">
        <v>171</v>
      </c>
      <c r="O42" s="58">
        <v>0</v>
      </c>
      <c r="P42" s="59">
        <v>0</v>
      </c>
    </row>
    <row r="43" spans="2:16" x14ac:dyDescent="0.25">
      <c r="C43" s="59">
        <v>9</v>
      </c>
      <c r="D43" s="28" t="s">
        <v>159</v>
      </c>
      <c r="E43" s="58">
        <v>0</v>
      </c>
      <c r="F43" s="59">
        <v>0</v>
      </c>
      <c r="J43" s="76"/>
      <c r="M43" s="59">
        <v>9</v>
      </c>
      <c r="N43" s="28" t="s">
        <v>159</v>
      </c>
      <c r="O43" s="58">
        <v>0</v>
      </c>
      <c r="P43" s="59">
        <v>0</v>
      </c>
    </row>
    <row r="44" spans="2:16" x14ac:dyDescent="0.25">
      <c r="C44" s="59">
        <v>10</v>
      </c>
      <c r="D44" s="28" t="s">
        <v>158</v>
      </c>
      <c r="E44" s="58">
        <v>0</v>
      </c>
      <c r="F44" s="59">
        <v>0</v>
      </c>
      <c r="J44" s="76"/>
      <c r="M44" s="59">
        <v>10</v>
      </c>
      <c r="N44" s="28" t="s">
        <v>158</v>
      </c>
      <c r="O44" s="58">
        <v>0</v>
      </c>
      <c r="P44" s="59">
        <v>0</v>
      </c>
    </row>
    <row r="45" spans="2:16" x14ac:dyDescent="0.25">
      <c r="C45" s="30"/>
      <c r="D45" s="29"/>
      <c r="E45" s="60"/>
      <c r="F45" s="30"/>
      <c r="J45" s="76"/>
      <c r="M45" s="30"/>
      <c r="N45" s="29"/>
      <c r="O45" s="60"/>
      <c r="P45" s="30"/>
    </row>
    <row r="46" spans="2:16" x14ac:dyDescent="0.25">
      <c r="B46" s="1" t="s">
        <v>193</v>
      </c>
      <c r="J46" s="76"/>
      <c r="L46" s="1" t="s">
        <v>193</v>
      </c>
    </row>
    <row r="47" spans="2:16" ht="30" x14ac:dyDescent="0.25">
      <c r="C47" s="54" t="s">
        <v>25</v>
      </c>
      <c r="D47" s="54" t="s">
        <v>31</v>
      </c>
      <c r="E47" s="8" t="s">
        <v>36</v>
      </c>
      <c r="F47" s="8" t="s">
        <v>37</v>
      </c>
      <c r="J47" s="76"/>
      <c r="M47" s="54" t="s">
        <v>25</v>
      </c>
      <c r="N47" s="54" t="s">
        <v>31</v>
      </c>
      <c r="O47" s="8" t="s">
        <v>36</v>
      </c>
      <c r="P47" s="8" t="s">
        <v>37</v>
      </c>
    </row>
    <row r="48" spans="2:16" x14ac:dyDescent="0.25">
      <c r="C48" s="59">
        <v>1</v>
      </c>
      <c r="D48" s="28" t="s">
        <v>114</v>
      </c>
      <c r="E48" s="58" t="s">
        <v>61</v>
      </c>
      <c r="F48" s="58" t="s">
        <v>61</v>
      </c>
      <c r="J48" s="76"/>
      <c r="M48" s="59">
        <v>1</v>
      </c>
      <c r="N48" s="28" t="s">
        <v>114</v>
      </c>
      <c r="O48" s="58" t="s">
        <v>61</v>
      </c>
      <c r="P48" s="58" t="s">
        <v>61</v>
      </c>
    </row>
    <row r="49" spans="2:16" x14ac:dyDescent="0.25">
      <c r="C49" s="59">
        <v>2</v>
      </c>
      <c r="D49" s="28" t="s">
        <v>115</v>
      </c>
      <c r="E49" s="58" t="s">
        <v>61</v>
      </c>
      <c r="F49" s="58" t="s">
        <v>61</v>
      </c>
      <c r="J49" s="76"/>
      <c r="M49" s="59">
        <v>2</v>
      </c>
      <c r="N49" s="28" t="s">
        <v>115</v>
      </c>
      <c r="O49" s="58" t="s">
        <v>61</v>
      </c>
      <c r="P49" s="58" t="s">
        <v>61</v>
      </c>
    </row>
    <row r="50" spans="2:16" x14ac:dyDescent="0.25">
      <c r="C50" s="59">
        <v>3</v>
      </c>
      <c r="D50" s="28" t="s">
        <v>116</v>
      </c>
      <c r="E50" s="58" t="s">
        <v>61</v>
      </c>
      <c r="F50" s="58" t="s">
        <v>61</v>
      </c>
      <c r="J50" s="76"/>
      <c r="M50" s="59">
        <v>3</v>
      </c>
      <c r="N50" s="28" t="s">
        <v>116</v>
      </c>
      <c r="O50" s="58" t="s">
        <v>61</v>
      </c>
      <c r="P50" s="58" t="s">
        <v>61</v>
      </c>
    </row>
    <row r="51" spans="2:16" x14ac:dyDescent="0.25">
      <c r="C51" s="59">
        <v>4</v>
      </c>
      <c r="D51" s="28" t="s">
        <v>117</v>
      </c>
      <c r="E51" s="58" t="s">
        <v>61</v>
      </c>
      <c r="F51" s="58" t="s">
        <v>61</v>
      </c>
      <c r="J51" s="76"/>
      <c r="M51" s="59">
        <v>4</v>
      </c>
      <c r="N51" s="28" t="s">
        <v>117</v>
      </c>
      <c r="O51" s="58" t="s">
        <v>61</v>
      </c>
      <c r="P51" s="58" t="s">
        <v>61</v>
      </c>
    </row>
    <row r="52" spans="2:16" x14ac:dyDescent="0.25">
      <c r="C52" s="59">
        <v>5</v>
      </c>
      <c r="D52" s="28" t="s">
        <v>168</v>
      </c>
      <c r="E52" s="58" t="s">
        <v>61</v>
      </c>
      <c r="F52" s="58" t="s">
        <v>61</v>
      </c>
      <c r="J52" s="76"/>
      <c r="M52" s="59">
        <v>5</v>
      </c>
      <c r="N52" s="28" t="s">
        <v>168</v>
      </c>
      <c r="O52" s="58" t="s">
        <v>61</v>
      </c>
      <c r="P52" s="58" t="s">
        <v>61</v>
      </c>
    </row>
    <row r="53" spans="2:16" x14ac:dyDescent="0.25">
      <c r="C53" s="59">
        <v>6</v>
      </c>
      <c r="D53" s="28" t="s">
        <v>169</v>
      </c>
      <c r="E53" s="58" t="s">
        <v>61</v>
      </c>
      <c r="F53" s="58" t="s">
        <v>61</v>
      </c>
      <c r="J53" s="76"/>
      <c r="M53" s="59">
        <v>6</v>
      </c>
      <c r="N53" s="28" t="s">
        <v>169</v>
      </c>
      <c r="O53" s="58" t="s">
        <v>61</v>
      </c>
      <c r="P53" s="58" t="s">
        <v>61</v>
      </c>
    </row>
    <row r="54" spans="2:16" x14ac:dyDescent="0.25">
      <c r="C54" s="59">
        <v>7</v>
      </c>
      <c r="D54" s="28" t="s">
        <v>170</v>
      </c>
      <c r="E54" s="58" t="s">
        <v>61</v>
      </c>
      <c r="F54" s="58" t="s">
        <v>61</v>
      </c>
      <c r="J54" s="76"/>
      <c r="M54" s="59">
        <v>7</v>
      </c>
      <c r="N54" s="28" t="s">
        <v>170</v>
      </c>
      <c r="O54" s="58" t="s">
        <v>61</v>
      </c>
      <c r="P54" s="58" t="s">
        <v>61</v>
      </c>
    </row>
    <row r="55" spans="2:16" x14ac:dyDescent="0.25">
      <c r="C55" s="59">
        <v>8</v>
      </c>
      <c r="D55" s="28" t="s">
        <v>171</v>
      </c>
      <c r="E55" s="58" t="s">
        <v>61</v>
      </c>
      <c r="F55" s="58" t="s">
        <v>61</v>
      </c>
      <c r="J55" s="76"/>
      <c r="M55" s="59">
        <v>8</v>
      </c>
      <c r="N55" s="28" t="s">
        <v>171</v>
      </c>
      <c r="O55" s="58" t="s">
        <v>61</v>
      </c>
      <c r="P55" s="58" t="s">
        <v>61</v>
      </c>
    </row>
    <row r="56" spans="2:16" x14ac:dyDescent="0.25">
      <c r="C56" s="59">
        <v>9</v>
      </c>
      <c r="D56" s="28" t="s">
        <v>159</v>
      </c>
      <c r="E56" s="58" t="s">
        <v>61</v>
      </c>
      <c r="F56" s="58" t="s">
        <v>61</v>
      </c>
      <c r="J56" s="76"/>
      <c r="M56" s="59">
        <v>9</v>
      </c>
      <c r="N56" s="28" t="s">
        <v>159</v>
      </c>
      <c r="O56" s="58" t="s">
        <v>61</v>
      </c>
      <c r="P56" s="58" t="s">
        <v>61</v>
      </c>
    </row>
    <row r="57" spans="2:16" x14ac:dyDescent="0.25">
      <c r="C57" s="59">
        <v>10</v>
      </c>
      <c r="D57" s="28" t="s">
        <v>158</v>
      </c>
      <c r="E57" s="58" t="s">
        <v>61</v>
      </c>
      <c r="F57" s="58" t="s">
        <v>61</v>
      </c>
      <c r="J57" s="76"/>
      <c r="M57" s="59">
        <v>10</v>
      </c>
      <c r="N57" s="28" t="s">
        <v>158</v>
      </c>
      <c r="O57" s="58" t="s">
        <v>61</v>
      </c>
      <c r="P57" s="58" t="s">
        <v>61</v>
      </c>
    </row>
    <row r="58" spans="2:16" x14ac:dyDescent="0.25">
      <c r="C58" s="30"/>
      <c r="D58" s="29"/>
      <c r="E58" s="60"/>
      <c r="F58" s="60"/>
      <c r="J58" s="76"/>
      <c r="M58" s="30"/>
      <c r="N58" s="29"/>
      <c r="O58" s="60"/>
      <c r="P58" s="60"/>
    </row>
    <row r="59" spans="2:16" x14ac:dyDescent="0.25">
      <c r="C59" s="30"/>
      <c r="D59" s="29"/>
      <c r="E59" s="60"/>
      <c r="F59" s="60"/>
      <c r="J59" s="76"/>
      <c r="M59" s="30"/>
      <c r="N59" s="29"/>
      <c r="O59" s="60"/>
      <c r="P59" s="60"/>
    </row>
    <row r="60" spans="2:16" x14ac:dyDescent="0.25">
      <c r="B60" s="1" t="s">
        <v>39</v>
      </c>
      <c r="J60" s="76"/>
      <c r="L60" s="1" t="s">
        <v>39</v>
      </c>
    </row>
    <row r="61" spans="2:16" x14ac:dyDescent="0.25">
      <c r="C61" s="1" t="s">
        <v>41</v>
      </c>
      <c r="J61" s="76"/>
      <c r="M61" s="1" t="s">
        <v>41</v>
      </c>
    </row>
    <row r="62" spans="2:16" x14ac:dyDescent="0.25">
      <c r="D62" t="s">
        <v>40</v>
      </c>
      <c r="J62" s="76"/>
      <c r="N62" t="s">
        <v>40</v>
      </c>
    </row>
    <row r="63" spans="2:16" x14ac:dyDescent="0.25">
      <c r="D63" t="s">
        <v>97</v>
      </c>
      <c r="J63" s="76"/>
      <c r="N63" t="s">
        <v>97</v>
      </c>
    </row>
    <row r="64" spans="2:16" x14ac:dyDescent="0.25">
      <c r="C64" s="1" t="s">
        <v>42</v>
      </c>
      <c r="J64" s="76"/>
      <c r="M64" s="1" t="s">
        <v>42</v>
      </c>
    </row>
    <row r="65" spans="2:14" x14ac:dyDescent="0.25">
      <c r="D65" t="s">
        <v>43</v>
      </c>
      <c r="J65" s="76"/>
      <c r="N65" t="s">
        <v>43</v>
      </c>
    </row>
    <row r="66" spans="2:14" x14ac:dyDescent="0.25">
      <c r="D66" t="s">
        <v>44</v>
      </c>
      <c r="J66" s="76"/>
      <c r="N66" t="s">
        <v>44</v>
      </c>
    </row>
    <row r="67" spans="2:14" x14ac:dyDescent="0.25">
      <c r="C67" s="1" t="s">
        <v>165</v>
      </c>
      <c r="J67" s="76"/>
      <c r="M67" s="1" t="s">
        <v>165</v>
      </c>
    </row>
    <row r="68" spans="2:14" x14ac:dyDescent="0.25">
      <c r="D68" t="s">
        <v>166</v>
      </c>
      <c r="J68" s="76"/>
      <c r="N68" t="s">
        <v>166</v>
      </c>
    </row>
    <row r="69" spans="2:14" x14ac:dyDescent="0.25">
      <c r="D69" t="s">
        <v>167</v>
      </c>
      <c r="J69" s="76"/>
      <c r="N69" t="s">
        <v>167</v>
      </c>
    </row>
    <row r="70" spans="2:14" x14ac:dyDescent="0.25">
      <c r="J70" s="76"/>
    </row>
    <row r="71" spans="2:14" x14ac:dyDescent="0.25">
      <c r="J71" s="76"/>
    </row>
    <row r="72" spans="2:14" x14ac:dyDescent="0.25">
      <c r="B72" t="s">
        <v>176</v>
      </c>
      <c r="C72" t="s">
        <v>164</v>
      </c>
      <c r="J72" s="76"/>
      <c r="K72" t="s">
        <v>163</v>
      </c>
    </row>
    <row r="73" spans="2:14" x14ac:dyDescent="0.25">
      <c r="D73" s="28" t="s">
        <v>114</v>
      </c>
      <c r="J73" s="76"/>
      <c r="L73" s="28" t="s">
        <v>117</v>
      </c>
    </row>
    <row r="74" spans="2:14" x14ac:dyDescent="0.25">
      <c r="D74" s="28" t="s">
        <v>115</v>
      </c>
      <c r="J74" s="76"/>
      <c r="L74" s="28" t="s">
        <v>159</v>
      </c>
    </row>
    <row r="75" spans="2:14" x14ac:dyDescent="0.25">
      <c r="D75" s="28" t="s">
        <v>116</v>
      </c>
      <c r="J75" s="76"/>
    </row>
    <row r="76" spans="2:14" x14ac:dyDescent="0.25">
      <c r="D76" s="28" t="s">
        <v>168</v>
      </c>
      <c r="J76" s="76"/>
    </row>
    <row r="77" spans="2:14" x14ac:dyDescent="0.25">
      <c r="D77" s="28" t="s">
        <v>169</v>
      </c>
      <c r="J77" s="76"/>
    </row>
    <row r="78" spans="2:14" x14ac:dyDescent="0.25">
      <c r="D78" s="28" t="s">
        <v>170</v>
      </c>
      <c r="J78" s="76"/>
    </row>
    <row r="79" spans="2:14" x14ac:dyDescent="0.25">
      <c r="D79" s="28" t="s">
        <v>171</v>
      </c>
      <c r="J79" s="76"/>
    </row>
    <row r="80" spans="2:14" x14ac:dyDescent="0.25">
      <c r="D80" s="28" t="s">
        <v>158</v>
      </c>
      <c r="J80" s="76"/>
    </row>
  </sheetData>
  <customSheetViews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2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3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4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5"/>
    </customSheetView>
    <customSheetView guid="{7ECC2B8E-6A82-42F5-8AB0-4A51C54EA5EC}" topLeftCell="A4">
      <selection activeCell="O10" sqref="O10"/>
      <pageMargins left="0.7" right="0.7" top="0.75" bottom="0.75" header="0.3" footer="0.3"/>
      <pageSetup orientation="portrait" horizontalDpi="300" verticalDpi="0" r:id="rId6"/>
    </customSheetView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7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8"/>
    </customSheetView>
    <customSheetView guid="{C94451EF-7A3E-4D72-B5A4-3D1B193192CC}">
      <selection activeCell="A31" sqref="A31"/>
      <pageMargins left="0.7" right="0.7" top="0.75" bottom="0.75" header="0.3" footer="0.3"/>
      <pageSetup orientation="portrait" horizontalDpi="300" verticalDpi="0" r:id="rId9"/>
    </customSheetView>
    <customSheetView guid="{970EE037-F5E5-47AF-896A-0F6222879EBC}" topLeftCell="A106">
      <selection activeCell="A6" sqref="A6:XFD6"/>
      <pageMargins left="0.7" right="0.7" top="0.75" bottom="0.75" header="0.3" footer="0.3"/>
      <pageSetup orientation="portrait" horizontalDpi="300" verticalDpi="0" r:id="rId10"/>
    </customSheetView>
  </customSheetViews>
  <pageMargins left="0.7" right="0.7" top="0.75" bottom="0.75" header="0.3" footer="0.3"/>
  <pageSetup orientation="portrait" horizontalDpi="300" verticalDpi="0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Monthly_20200520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gup7hc</cp:lastModifiedBy>
  <dcterms:created xsi:type="dcterms:W3CDTF">2006-09-16T00:00:00Z</dcterms:created>
  <dcterms:modified xsi:type="dcterms:W3CDTF">2020-05-28T08:05:29Z</dcterms:modified>
</cp:coreProperties>
</file>