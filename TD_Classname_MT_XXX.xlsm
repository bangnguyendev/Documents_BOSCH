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rameWork\eclipse\Workspace\ASW_MT_FW\Template\ASW\TestCaseDesign\"/>
    </mc:Choice>
  </mc:AlternateContent>
  <bookViews>
    <workbookView xWindow="12240" yWindow="15" windowWidth="12180" windowHeight="8190" activeTab="3"/>
  </bookViews>
  <sheets>
    <sheet name="Revision History" sheetId="16" r:id="rId1"/>
    <sheet name="Summary" sheetId="17" r:id="rId2"/>
    <sheet name="MCDC" sheetId="23" r:id="rId3"/>
    <sheet name="Testcases" sheetId="18" r:id="rId4"/>
    <sheet name="Temporary" sheetId="6" state="hidden" r:id="rId5"/>
    <sheet name="Guide" sheetId="9" state="hidden" r:id="rId6"/>
    <sheet name="SavedVariables" sheetId="10" state="hidden" r:id="rId7"/>
    <sheet name="MCDC_Backup" sheetId="12" state="hidden" r:id="rId8"/>
    <sheet name="Testcases_Backup" sheetId="13" state="hidden" r:id="rId9"/>
    <sheet name="Constants_Backup" sheetId="14" state="hidden" r:id="rId10"/>
  </sheets>
  <functionGroups builtInGroupCount="18"/>
  <definedNames>
    <definedName name="_xlnm._FilterDatabase" localSheetId="3" hidden="1">Testcases!#REF!</definedName>
  </definedNames>
  <calcPr calcId="162913"/>
</workbook>
</file>

<file path=xl/calcChain.xml><?xml version="1.0" encoding="utf-8"?>
<calcChain xmlns="http://schemas.openxmlformats.org/spreadsheetml/2006/main">
  <c r="J26" i="13" l="1"/>
  <c r="I26" i="13"/>
  <c r="B26" i="13"/>
  <c r="J25" i="13"/>
  <c r="I25" i="13"/>
  <c r="B25" i="13"/>
  <c r="J24" i="13"/>
  <c r="I24" i="13"/>
  <c r="B24" i="13"/>
  <c r="J26" i="18"/>
  <c r="J25" i="18"/>
  <c r="J24" i="18"/>
  <c r="I26" i="18"/>
  <c r="I25" i="18"/>
  <c r="I24" i="18"/>
  <c r="D3" i="17" l="1"/>
  <c r="C3" i="17"/>
  <c r="B3" i="17"/>
  <c r="B26" i="18" l="1"/>
  <c r="B25" i="18"/>
  <c r="B24" i="18"/>
</calcChain>
</file>

<file path=xl/comments1.xml><?xml version="1.0" encoding="utf-8"?>
<comments xmlns="http://schemas.openxmlformats.org/spreadsheetml/2006/main">
  <authors>
    <author>hul2hc</author>
  </authors>
  <commentList>
    <comment ref="A2" authorId="0" shapeId="0">
      <text>
        <r>
          <rPr>
            <b/>
            <sz val="8"/>
            <color indexed="81"/>
            <rFont val="Tahoma"/>
            <family val="2"/>
          </rPr>
          <t>hul2hc:</t>
        </r>
        <r>
          <rPr>
            <sz val="8"/>
            <color indexed="81"/>
            <rFont val="Tahoma"/>
            <family val="2"/>
          </rPr>
          <t xml:space="preserve">
New Task
Delta Task
Rerun Task</t>
        </r>
      </text>
    </comment>
  </commentList>
</comments>
</file>

<file path=xl/sharedStrings.xml><?xml version="1.0" encoding="utf-8"?>
<sst xmlns="http://schemas.openxmlformats.org/spreadsheetml/2006/main" count="504" uniqueCount="276">
  <si>
    <t>INPUTS</t>
  </si>
  <si>
    <t>OUTPUTS</t>
  </si>
  <si>
    <t>MCDC</t>
  </si>
  <si>
    <t>Name</t>
  </si>
  <si>
    <t>Value</t>
  </si>
  <si>
    <t>TC No.</t>
  </si>
  <si>
    <t>CONSTANTS</t>
  </si>
  <si>
    <t>Column A</t>
  </si>
  <si>
    <t>Column B</t>
  </si>
  <si>
    <t>Column C</t>
  </si>
  <si>
    <t>…</t>
  </si>
  <si>
    <t>Row 1</t>
  </si>
  <si>
    <t>Row 2</t>
  </si>
  <si>
    <t>Row 3</t>
  </si>
  <si>
    <t>&lt;Some text for requirement&gt;</t>
  </si>
  <si>
    <t>[Some explaination]</t>
  </si>
  <si>
    <t>[INPUTS]</t>
  </si>
  <si>
    <t>&lt;Input names&gt;</t>
  </si>
  <si>
    <t>&lt;Output names&gt;</t>
  </si>
  <si>
    <t>&lt;Input values&gt;</t>
  </si>
  <si>
    <t>&lt;Output values&gt;</t>
  </si>
  <si>
    <t>[…]</t>
  </si>
  <si>
    <t>Column Z …</t>
  </si>
  <si>
    <t>Row 100 …</t>
  </si>
  <si>
    <t>Notes:</t>
  </si>
  <si>
    <t>&lt;&gt;</t>
  </si>
  <si>
    <t>Mandatory</t>
  </si>
  <si>
    <t>[]</t>
  </si>
  <si>
    <t>Optional</t>
  </si>
  <si>
    <t>1. FORMAT</t>
  </si>
  <si>
    <t>[...]</t>
  </si>
  <si>
    <t>2. DESCRIPTIONS</t>
  </si>
  <si>
    <t>&lt;"TC No."&gt;</t>
  </si>
  <si>
    <t>&lt;"MCDC"&gt;</t>
  </si>
  <si>
    <t>&lt;"OUTPUTS"&gt;</t>
  </si>
  <si>
    <t>&lt;Some text for requirement&gt; must be in column A of the sheet</t>
  </si>
  <si>
    <t>&lt;"OUTPUTS"&gt; must be existed</t>
  </si>
  <si>
    <t>&lt;"TC No."&gt; must be existed and in column B of the sheet</t>
  </si>
  <si>
    <t>3. EXAMPLE</t>
  </si>
  <si>
    <t>Name of the sheet must be "MCDC"</t>
  </si>
  <si>
    <t>"MCDC" SHEET</t>
  </si>
  <si>
    <t>"Testcases" SHEET</t>
  </si>
  <si>
    <t>["TC No."]</t>
  </si>
  <si>
    <t>["INPUTS"]</t>
  </si>
  <si>
    <t>["Remarks"]</t>
  </si>
  <si>
    <t>Name of the sheet must be "Testcases"</t>
  </si>
  <si>
    <t>&lt;Input names&gt; must be continous (no empty cell between 2 input names)</t>
  </si>
  <si>
    <t>&lt;Output names&gt; must be continous (no empty cell between 2 output names)</t>
  </si>
  <si>
    <t>"Constants" SHEET</t>
  </si>
  <si>
    <t>["Values"]</t>
  </si>
  <si>
    <t>["Names"]</t>
  </si>
  <si>
    <t>&lt;Constant names&gt;</t>
  </si>
  <si>
    <t>&lt;Constant values&gt;</t>
  </si>
  <si>
    <t>Name of the sheet must be "Constants"</t>
  </si>
  <si>
    <t>&lt;Constant names&gt; must be started at cell B2, and be continous (no empty cell between 2 input names)</t>
  </si>
  <si>
    <t>&lt;Constant names&gt; must be started at cell B3, be continous (no empty cell between 2 input names), not empty, be a number</t>
  </si>
  <si>
    <t>["CONSTANTS"]</t>
  </si>
  <si>
    <t>Steps</t>
  </si>
  <si>
    <t>1. Click menu Add-Ins to see supported buttons</t>
  </si>
  <si>
    <t>2. Click Button "Clear" to clear all current data and begin designing testcase for new class</t>
  </si>
  <si>
    <t>3. Prepare sheets "MCDC", "Constants", "Testcases" as described below</t>
  </si>
  <si>
    <t>4. Click Button "GenTC" ---&gt; Check results in "Testcases" sheet</t>
  </si>
  <si>
    <t>5. Click Button "GenCSV" ---&gt; Check results folder for CSV files which are testcases to import in ATT tool</t>
  </si>
  <si>
    <t>form.txtTMName</t>
  </si>
  <si>
    <t>form.txtModuleIndex</t>
  </si>
  <si>
    <t>VERSION</t>
  </si>
  <si>
    <t>CHANGE</t>
  </si>
  <si>
    <t>DATE</t>
  </si>
  <si>
    <t>AUTHOR</t>
  </si>
  <si>
    <t>New</t>
  </si>
  <si>
    <t>Le Thai (RBVH\EMB3)</t>
  </si>
  <si>
    <t>V1.0</t>
  </si>
  <si>
    <t>V1.1</t>
  </si>
  <si>
    <t>All sheets:
- Font: Arial
- Size: 12</t>
  </si>
  <si>
    <t>V1.2</t>
  </si>
  <si>
    <t>GenTC funtion: add msgbox Yes/No/Cancle to get whether clear current TCs before generate the new ones</t>
  </si>
  <si>
    <r>
      <t xml:space="preserve">GenTC funtion: modify msgbox Yes/No/Cancle to get whether clear current TCs before </t>
    </r>
    <r>
      <rPr>
        <sz val="12"/>
        <color indexed="10"/>
        <rFont val="Arial"/>
        <family val="2"/>
      </rPr>
      <t>generating</t>
    </r>
    <r>
      <rPr>
        <sz val="12"/>
        <rFont val="Arial"/>
        <family val="2"/>
      </rPr>
      <t xml:space="preserve"> the new ones
Change "Example of MCDC Sheet" in Guilde sheet</t>
    </r>
  </si>
  <si>
    <t>V2.0</t>
  </si>
  <si>
    <r>
      <rPr>
        <b/>
        <sz val="12"/>
        <rFont val="Arial"/>
        <family val="2"/>
      </rPr>
      <t>Support LOCAL OUTPUTS</t>
    </r>
    <r>
      <rPr>
        <sz val="12"/>
        <rFont val="Arial"/>
        <family val="2"/>
      </rPr>
      <t xml:space="preserve">
- Copy sub GetSignalData from Module GenCSV to module GenTC and rename it to GetSignalDataMCDC
- Sub GenTC use sub GetSignalDataMCDC instead of GetSignalData
- In Module GenCSV, change sub GetSignalData to Function GetSignalData, modify its interface and contents so that It can get local outputs
- Modify GenCSV in order to gen CSV files with local output</t>
    </r>
  </si>
  <si>
    <t>V2.1</t>
  </si>
  <si>
    <r>
      <t xml:space="preserve">Support LOCAL OUTPUTS
</t>
    </r>
    <r>
      <rPr>
        <sz val="12"/>
        <rFont val="Arial"/>
        <family val="2"/>
      </rPr>
      <t>- GetSignalData: check and handle cases no Input, no Output, no Local Output
- GenCSV: check and handle cases no Input, no Output, no Local Output
Comment: Update module GenCSV in TD_ST_Template.xls also</t>
    </r>
  </si>
  <si>
    <t>V3.0</t>
  </si>
  <si>
    <t>V4.0</t>
  </si>
  <si>
    <r>
      <rPr>
        <b/>
        <sz val="12"/>
        <rFont val="Arial"/>
        <family val="2"/>
      </rPr>
      <t>Support Change signal name</t>
    </r>
    <r>
      <rPr>
        <sz val="12"/>
        <rFont val="Arial"/>
        <family val="2"/>
      </rPr>
      <t xml:space="preserve">
- Add function ChangeSignalName to support for GenCSV sub
Comment: Update module GenCSV in TD_ST_Template.xls also</t>
    </r>
  </si>
  <si>
    <t>V4.1</t>
  </si>
  <si>
    <r>
      <t xml:space="preserve">Support GenTCMix
</t>
    </r>
    <r>
      <rPr>
        <sz val="12"/>
        <rFont val="Arial"/>
        <family val="2"/>
      </rPr>
      <t>- Added MGenTCMix: similar to MGenTC, but there are some modification to combine all the signals in MCDC tables together based on column TCNo. To generate testcases in Testcases sheet.
- Added GenTCMix button</t>
    </r>
  </si>
  <si>
    <t>Support GenTCMix
- GetSignalDataMCDCMix: add one input argument "kind" to indicate whether reserved values are used or not.</t>
  </si>
  <si>
    <t>V5.0</t>
  </si>
  <si>
    <r>
      <rPr>
        <b/>
        <sz val="12"/>
        <rFont val="Arial"/>
        <family val="2"/>
      </rPr>
      <t>Combine common code in MGenTC and MGenTCMix module</t>
    </r>
    <r>
      <rPr>
        <sz val="12"/>
        <rFont val="Arial"/>
        <family val="2"/>
      </rPr>
      <t xml:space="preserve">
- WriteTCAll, ExtractFirstConditionAll, GetSignalDataAll are in Mcommon</t>
    </r>
  </si>
  <si>
    <t>V5.1</t>
  </si>
  <si>
    <r>
      <rPr>
        <b/>
        <sz val="12"/>
        <rFont val="Arial"/>
        <family val="2"/>
      </rPr>
      <t xml:space="preserve">Support Undo
</t>
    </r>
    <r>
      <rPr>
        <sz val="12"/>
        <rFont val="Arial"/>
        <family val="2"/>
      </rPr>
      <t>- Added Undo button
- Added Backup and Restore sub in Mcommon module</t>
    </r>
  </si>
  <si>
    <t>V6.0</t>
  </si>
  <si>
    <t>Using OOP programming
- Create Class Modules: 
    + CMCDC - object for MCDC sheet, 
    + CRequirement - object for requirement in MCDC sheet, 
    + CTable - object for MCDC table in the requirement</t>
  </si>
  <si>
    <t>SIGNALS</t>
  </si>
  <si>
    <t>Replacing Name</t>
  </si>
  <si>
    <t>OUTCOME</t>
  </si>
  <si>
    <t>DESCRIPTIONS</t>
  </si>
  <si>
    <t>REMARKS</t>
  </si>
  <si>
    <t>V6.1</t>
  </si>
  <si>
    <t>V6.2</t>
  </si>
  <si>
    <r>
      <rPr>
        <b/>
        <sz val="12"/>
        <rFont val="Arial"/>
        <family val="2"/>
      </rPr>
      <t xml:space="preserve">Change template:
</t>
    </r>
    <r>
      <rPr>
        <sz val="12"/>
        <rFont val="Arial"/>
        <family val="2"/>
      </rPr>
      <t xml:space="preserve">- Constants sheet: Add Change signal name table
- Testcases sheet: Add DESCRIPTIONS column, Remarks --&gt; REMARKS
</t>
    </r>
    <r>
      <rPr>
        <b/>
        <sz val="12"/>
        <rFont val="Arial"/>
        <family val="2"/>
      </rPr>
      <t>Support keep current value:</t>
    </r>
    <r>
      <rPr>
        <sz val="12"/>
        <rFont val="Arial"/>
        <family val="2"/>
      </rPr>
      <t xml:space="preserve">
- WriteTCAll function: Check inputvalue = "Current Value" or not to decide whether not replace or replace</t>
    </r>
  </si>
  <si>
    <r>
      <rPr>
        <b/>
        <sz val="12"/>
        <rFont val="Arial"/>
        <family val="2"/>
      </rPr>
      <t>Change template:</t>
    </r>
    <r>
      <rPr>
        <sz val="12"/>
        <rFont val="Arial"/>
        <family val="2"/>
      </rPr>
      <t xml:space="preserve">
- MCDC sheet: Add OUTCOME column and DESCRIPTION column into MCDC table
</t>
    </r>
    <r>
      <rPr>
        <b/>
        <sz val="12"/>
        <rFont val="Arial"/>
        <family val="2"/>
      </rPr>
      <t>Support generating description</t>
    </r>
    <r>
      <rPr>
        <sz val="12"/>
        <rFont val="Arial"/>
        <family val="2"/>
      </rPr>
      <t xml:space="preserve">
- Sub GenTCMix : support generate description
- Added AutofitColumns sub in Mcommon Module</t>
    </r>
  </si>
  <si>
    <t>V6.3</t>
  </si>
  <si>
    <r>
      <rPr>
        <b/>
        <sz val="12"/>
        <rFont val="Arial"/>
        <family val="2"/>
      </rPr>
      <t>Bug fix</t>
    </r>
    <r>
      <rPr>
        <sz val="12"/>
        <rFont val="Arial"/>
        <family val="2"/>
      </rPr>
      <t xml:space="preserve">
- GenTCMix: Ensure Ubound(inputValues, 2) = Ubound(outputValues ,2) = Ubound(TCNo) for each MCDC Table</t>
    </r>
  </si>
  <si>
    <t>V6.4</t>
  </si>
  <si>
    <r>
      <rPr>
        <b/>
        <sz val="12"/>
        <rFont val="Arial"/>
        <family val="2"/>
      </rPr>
      <t>Suport add constant value and position the TC</t>
    </r>
    <r>
      <rPr>
        <sz val="12"/>
        <rFont val="Arial"/>
        <family val="2"/>
      </rPr>
      <t xml:space="preserve">
- Sub GetConstantValues: Suport add constant value for missing constant name
- Sub GenTCMix: At getting confirmation from user, if 'No' replace all TC instead of create new TCs below available TCs</t>
    </r>
  </si>
  <si>
    <t>V6.5</t>
  </si>
  <si>
    <r>
      <t xml:space="preserve">Support proper columns for insert missing signals in Testcases sheet
</t>
    </r>
    <r>
      <rPr>
        <sz val="12"/>
        <rFont val="Arial"/>
        <family val="2"/>
      </rPr>
      <t>- WriteTCAll changed</t>
    </r>
  </si>
  <si>
    <t>V7.0</t>
  </si>
  <si>
    <r>
      <rPr>
        <b/>
        <sz val="12"/>
        <rFont val="Arial"/>
        <family val="2"/>
      </rPr>
      <t>Support Generate Specified TC</t>
    </r>
    <r>
      <rPr>
        <sz val="12"/>
        <rFont val="Arial"/>
        <family val="2"/>
      </rPr>
      <t xml:space="preserve">
- Add sub GenSpecifiedTC
- Add button GenSpecifiedTC</t>
    </r>
  </si>
  <si>
    <t>V7.1</t>
  </si>
  <si>
    <r>
      <rPr>
        <b/>
        <sz val="12"/>
        <rFont val="Arial"/>
        <family val="2"/>
      </rPr>
      <t>Support Add requirement</t>
    </r>
    <r>
      <rPr>
        <sz val="12"/>
        <rFont val="Arial"/>
        <family val="2"/>
      </rPr>
      <t xml:space="preserve">
- In Common module, add sub called AddReq
- In Toolbar Module, add one more toolbar with one button "Add Requirement"</t>
    </r>
  </si>
  <si>
    <t>Check MCDC for condition …</t>
  </si>
  <si>
    <t>TCX</t>
  </si>
  <si>
    <t>V7.2</t>
  </si>
  <si>
    <t>Add button "Backup"</t>
  </si>
  <si>
    <t>V8.0</t>
  </si>
  <si>
    <r>
      <t xml:space="preserve">Optimization:
</t>
    </r>
    <r>
      <rPr>
        <sz val="12"/>
        <rFont val="Arial"/>
        <family val="2"/>
      </rPr>
      <t>- Remove Module MGenTC
- Module MGenTCMix renamed to MGenTC in which:
   + Remove sub GenTCMix
   + Sub GenSpecifiedTC: support generate all TCs and Gen specified TC.
   + Rename sub GenSpecifiedTC to GenTC
- Toolbars:
   + Toolbar1:Remove 2 buttons: GenTCMix and GenSpecifiedTC
   + Move Button "Add Requirement" from toolbar2 to toolbar1, 
   + Set Toolbar2 invisible</t>
    </r>
  </si>
  <si>
    <t>V8.1</t>
  </si>
  <si>
    <r>
      <t xml:space="preserve">Optimization: 
- Mcommon: 
   + </t>
    </r>
    <r>
      <rPr>
        <sz val="12"/>
        <rFont val="Arial"/>
        <family val="2"/>
      </rPr>
      <t xml:space="preserve">Add sub AutofitColumnsActivesheet to autofit column width of active sheet
   + Clear sub: activate MCDC sheet after this macro is run.
- </t>
    </r>
    <r>
      <rPr>
        <b/>
        <sz val="12"/>
        <rFont val="Arial"/>
        <family val="2"/>
      </rPr>
      <t>Mtoolbar:</t>
    </r>
    <r>
      <rPr>
        <sz val="12"/>
        <rFont val="Arial"/>
        <family val="2"/>
      </rPr>
      <t xml:space="preserve"> Add button "Autofit Columns"
- </t>
    </r>
    <r>
      <rPr>
        <b/>
        <sz val="12"/>
        <rFont val="Arial"/>
        <family val="2"/>
      </rPr>
      <t>Guildline sheet</t>
    </r>
    <r>
      <rPr>
        <sz val="12"/>
        <rFont val="Arial"/>
        <family val="2"/>
      </rPr>
      <t>: Make font for Outcome column of Requirement template be red</t>
    </r>
  </si>
  <si>
    <t>V8.2</t>
  </si>
  <si>
    <r>
      <t xml:space="preserve">Bug fix
</t>
    </r>
    <r>
      <rPr>
        <sz val="12"/>
        <rFont val="Arial"/>
        <family val="2"/>
      </rPr>
      <t>- MGenCSV: 
   + ChangeSignalNames: return Error when replacing name was empty.
- Mcommon:
   + Clear: Back up before clear</t>
    </r>
  </si>
  <si>
    <t>V8.3</t>
  </si>
  <si>
    <r>
      <t xml:space="preserve">Bug fix
- Mcommon:
     </t>
    </r>
    <r>
      <rPr>
        <sz val="12"/>
        <rFont val="Arial"/>
        <family val="2"/>
      </rPr>
      <t>+ Backup: Backup "Constants" sheet as well.
    + Restore: Restore "Constants" sheet as well.</t>
    </r>
  </si>
  <si>
    <t>DEFAULT</t>
  </si>
  <si>
    <t>form.txtConstantSet</t>
  </si>
  <si>
    <t>V9.0</t>
  </si>
  <si>
    <r>
      <t xml:space="preserve">Support multiple data set, imp set
</t>
    </r>
    <r>
      <rPr>
        <sz val="12"/>
        <rFont val="Arial"/>
        <family val="2"/>
      </rPr>
      <t>- Guide sheet: changed template for Constants sheet
- User Form: added text box for Constant Set
- GenCSV sub: support generate TCs for multiple data set, imp set</t>
    </r>
  </si>
  <si>
    <t>V9.1</t>
  </si>
  <si>
    <r>
      <t xml:space="preserve">Optimization: 
</t>
    </r>
    <r>
      <rPr>
        <sz val="12"/>
        <rFont val="Arial"/>
        <family val="2"/>
      </rPr>
      <t>- Mcommon: 
     + Rename: AutofitColumnsActivesheet --&gt; AutofitCellsActivesheet
     + AutofitCellsActivesheet: autofit rows as well
- Mtoolbar:
     + Button: Autofit Columns --&gt; Autofit</t>
    </r>
  </si>
  <si>
    <r>
      <t xml:space="preserve">Support Read TC from CSV file
</t>
    </r>
    <r>
      <rPr>
        <sz val="12"/>
        <rFont val="Arial"/>
        <family val="2"/>
      </rPr>
      <t>- Add module MReadTC
- Added button Read CSV
- Added sub CSVDisplay1D for debuging
- Modify function WriteTCAll: generate TC, automaticaly insert inputs, outputs, local outputs at the correct position in Testcase sheet.
- Change template for Testcases table in Guide sheet</t>
    </r>
  </si>
  <si>
    <t>V10.0</t>
  </si>
  <si>
    <t>V10.1</t>
  </si>
  <si>
    <r>
      <t xml:space="preserve">Support Read TC from CSV file
</t>
    </r>
    <r>
      <rPr>
        <sz val="12"/>
        <rFont val="Arial"/>
        <family val="2"/>
      </rPr>
      <t>- ReadTC: be able to read multiple files</t>
    </r>
  </si>
  <si>
    <t>V10.2</t>
  </si>
  <si>
    <t>V10.3</t>
  </si>
  <si>
    <r>
      <t xml:space="preserve">Imporvements
</t>
    </r>
    <r>
      <rPr>
        <sz val="12"/>
        <rFont val="Arial"/>
        <family val="2"/>
      </rPr>
      <t>- Mcommon
    + Update FindRowAll, FindColAll function, using MAX_ROW = 1000, MAX_COL = 100, support find col base on interior color
- GenTC
    + Add "focus on ..." in comments for TCs</t>
    </r>
  </si>
  <si>
    <r>
      <t xml:space="preserve">Imporvements
</t>
    </r>
    <r>
      <rPr>
        <sz val="12"/>
        <rFont val="Arial"/>
        <family val="2"/>
      </rPr>
      <t>- Guide sheet:
    + Change MCDC table template, remove MCDC value (--1--), …
- Add code autofit when worksheet changed
- Gen comment: " = " was replaced by " is set "</t>
    </r>
  </si>
  <si>
    <t>V10.4</t>
  </si>
  <si>
    <t>V10.5</t>
  </si>
  <si>
    <r>
      <t xml:space="preserve">Bug fix
</t>
    </r>
    <r>
      <rPr>
        <sz val="12"/>
        <rFont val="Arial"/>
        <family val="2"/>
      </rPr>
      <t>- GenCSV: check whether names of inputs, outputs, local outputs contains space character.</t>
    </r>
  </si>
  <si>
    <t>LOCAL VARIABLES</t>
  </si>
  <si>
    <t>TM_AWD_AllWheelSpin_Detection_Calc</t>
  </si>
  <si>
    <t>V10.6</t>
  </si>
  <si>
    <t>V10.7</t>
  </si>
  <si>
    <t>Enum</t>
  </si>
  <si>
    <t>Type</t>
  </si>
  <si>
    <t>Min</t>
  </si>
  <si>
    <t>Max</t>
  </si>
  <si>
    <t>Date</t>
  </si>
  <si>
    <t>Author</t>
  </si>
  <si>
    <t>Modifications</t>
  </si>
  <si>
    <t>Version No.</t>
  </si>
  <si>
    <t>Document Revision History</t>
  </si>
  <si>
    <t>Note: Please select the document confidentiality level above</t>
  </si>
  <si>
    <t>Released  by :</t>
  </si>
  <si>
    <t>Approved by :</t>
  </si>
  <si>
    <t>Note: Please update the current status above</t>
  </si>
  <si>
    <t>Status: &lt;Draft / Reviewed / Approved&gt;</t>
  </si>
  <si>
    <t>Tolerance</t>
  </si>
  <si>
    <t>Internal</t>
  </si>
  <si>
    <t>V11.0</t>
  </si>
  <si>
    <r>
      <t xml:space="preserve">New template:
</t>
    </r>
    <r>
      <rPr>
        <sz val="12"/>
        <rFont val="Arial"/>
        <family val="2"/>
      </rPr>
      <t xml:space="preserve">- </t>
    </r>
    <r>
      <rPr>
        <b/>
        <sz val="12"/>
        <rFont val="Arial"/>
        <family val="2"/>
      </rPr>
      <t>Constants</t>
    </r>
    <r>
      <rPr>
        <sz val="12"/>
        <rFont val="Arial"/>
        <family val="2"/>
      </rPr>
      <t xml:space="preserve"> sheet was removed,  </t>
    </r>
    <r>
      <rPr>
        <b/>
        <sz val="12"/>
        <rFont val="Arial"/>
        <family val="2"/>
      </rPr>
      <t xml:space="preserve">Testcases </t>
    </r>
    <r>
      <rPr>
        <sz val="12"/>
        <rFont val="Arial"/>
        <family val="2"/>
      </rPr>
      <t>was changed
- Remove buttons : "Generate CSV", "Read CSV"
- Function modified:
   + GenTC: startORow was changed
   + WriteTCAll: added 1 argument, signalNameRowIdx</t>
    </r>
  </si>
  <si>
    <t>V11.1</t>
  </si>
  <si>
    <r>
      <t xml:space="preserve">New template:
</t>
    </r>
    <r>
      <rPr>
        <sz val="12"/>
        <rFont val="Arial"/>
        <family val="2"/>
      </rPr>
      <t>- Guide sheet:
   + "Imported Parameters" --&gt; "CONSTANTS"
   + "Local Parameters" --&gt; "PARAMETERS"</t>
    </r>
  </si>
  <si>
    <t>Testcase Design</t>
  </si>
  <si>
    <t>Newly created</t>
  </si>
  <si>
    <t>Task Type</t>
  </si>
  <si>
    <t>No. of tested requirement</t>
  </si>
  <si>
    <t>No. of covered tested requirement</t>
  </si>
  <si>
    <t>Summary</t>
  </si>
  <si>
    <t>V11.2</t>
  </si>
  <si>
    <r>
      <t xml:space="preserve">New template:
</t>
    </r>
    <r>
      <rPr>
        <sz val="12"/>
        <rFont val="Arial"/>
        <family val="2"/>
      </rPr>
      <t>- Revision History sheet: Update information
- Summary sheet : Newly added</t>
    </r>
  </si>
  <si>
    <t>Requirement 1</t>
  </si>
  <si>
    <t>V11.3</t>
  </si>
  <si>
    <r>
      <t xml:space="preserve">New template:
</t>
    </r>
    <r>
      <rPr>
        <sz val="12"/>
        <rFont val="Arial"/>
        <family val="2"/>
      </rPr>
      <t>- Support generate formula for max min using IF()</t>
    </r>
  </si>
  <si>
    <r>
      <t xml:space="preserve">New template:
</t>
    </r>
    <r>
      <rPr>
        <sz val="12"/>
        <rFont val="Arial"/>
        <family val="2"/>
      </rPr>
      <t>- Support generate formula for max min using MAX(MIN())</t>
    </r>
  </si>
  <si>
    <t>V11.4</t>
  </si>
  <si>
    <t>V11.5</t>
  </si>
  <si>
    <r>
      <t xml:space="preserve">Imporvements
</t>
    </r>
    <r>
      <rPr>
        <sz val="12"/>
        <rFont val="Arial"/>
        <family val="2"/>
      </rPr>
      <t>- Support Fill Local Variables</t>
    </r>
  </si>
  <si>
    <t>V11.6</t>
  </si>
  <si>
    <r>
      <t xml:space="preserve">Imporvements
</t>
    </r>
    <r>
      <rPr>
        <sz val="12"/>
        <rFont val="Arial"/>
        <family val="2"/>
      </rPr>
      <t xml:space="preserve">- Imported and modified 1D-2D module from ESP2 team.
- MSuportFunctions added
- Change template: TCX in MCDC table is  RED color </t>
    </r>
  </si>
  <si>
    <r>
      <t xml:space="preserve">Modification
</t>
    </r>
    <r>
      <rPr>
        <sz val="12"/>
        <rFont val="Arial"/>
        <family val="2"/>
      </rPr>
      <t xml:space="preserve">- GenCSV
   + Local ouputs must be inserted </t>
    </r>
    <r>
      <rPr>
        <sz val="12"/>
        <color indexed="10"/>
        <rFont val="Arial"/>
        <family val="2"/>
      </rPr>
      <t>"exp_asp_"</t>
    </r>
    <r>
      <rPr>
        <sz val="12"/>
        <rFont val="Arial"/>
        <family val="2"/>
      </rPr>
      <t xml:space="preserve"> before name
   + Ouputs must be inserted </t>
    </r>
    <r>
      <rPr>
        <sz val="12"/>
        <color indexed="10"/>
        <rFont val="Arial"/>
        <family val="2"/>
      </rPr>
      <t>"expected_"</t>
    </r>
    <r>
      <rPr>
        <sz val="12"/>
        <rFont val="Arial"/>
        <family val="2"/>
      </rPr>
      <t xml:space="preserve"> before name
so that GenTC generate TCs at correct position</t>
    </r>
  </si>
  <si>
    <r>
      <t xml:space="preserve">Imporvements
</t>
    </r>
    <r>
      <rPr>
        <sz val="12"/>
        <rFont val="Arial"/>
        <family val="2"/>
      </rPr>
      <t xml:space="preserve">- Guide sheet:
Change template for Requirement: "Requirement" --&gt; </t>
    </r>
    <r>
      <rPr>
        <sz val="12"/>
        <color indexed="10"/>
        <rFont val="Arial"/>
        <family val="2"/>
      </rPr>
      <t>"Condition"</t>
    </r>
    <r>
      <rPr>
        <sz val="12"/>
        <rFont val="Arial"/>
        <family val="2"/>
      </rPr>
      <t xml:space="preserve">
- GenTC:
Description is genereted based on the title of </t>
    </r>
    <r>
      <rPr>
        <sz val="12"/>
        <color indexed="10"/>
        <rFont val="Arial"/>
        <family val="2"/>
      </rPr>
      <t>"Condition …" at columm 1</t>
    </r>
    <r>
      <rPr>
        <sz val="12"/>
        <rFont val="Arial"/>
        <family val="2"/>
      </rPr>
      <t>, not descritption at column 2.</t>
    </r>
  </si>
  <si>
    <r>
      <t xml:space="preserve">Bug fix
</t>
    </r>
    <r>
      <rPr>
        <sz val="12"/>
        <rFont val="Arial"/>
        <family val="2"/>
      </rPr>
      <t xml:space="preserve">- GenCSV:   added function CheckSignalName to check whether names of inputs, outputs, local outputs 
     + contains </t>
    </r>
    <r>
      <rPr>
        <sz val="12"/>
        <color indexed="10"/>
        <rFont val="Arial"/>
        <family val="2"/>
      </rPr>
      <t>space character</t>
    </r>
    <r>
      <rPr>
        <sz val="12"/>
        <rFont val="Arial"/>
        <family val="2"/>
      </rPr>
      <t xml:space="preserve">, 
     + is </t>
    </r>
    <r>
      <rPr>
        <sz val="12"/>
        <color indexed="10"/>
        <rFont val="Arial"/>
        <family val="2"/>
      </rPr>
      <t>duplicated</t>
    </r>
    <r>
      <rPr>
        <sz val="12"/>
        <rFont val="Arial"/>
        <family val="2"/>
      </rPr>
      <t>. E.g: "ay" and "ay.abs()"</t>
    </r>
  </si>
  <si>
    <t>V11.7</t>
  </si>
  <si>
    <r>
      <t xml:space="preserve">Imporvements
</t>
    </r>
    <r>
      <rPr>
        <sz val="12"/>
        <rFont val="Arial"/>
        <family val="2"/>
      </rPr>
      <t>- Re-implement Function Param2D.
- Add requirement with input condition
- Change template: MCDC table is alligned center</t>
    </r>
  </si>
  <si>
    <t>defaultCondition</t>
  </si>
  <si>
    <t>V11.7.1</t>
  </si>
  <si>
    <r>
      <t xml:space="preserve">Bug fix ???
</t>
    </r>
    <r>
      <rPr>
        <sz val="12"/>
        <rFont val="Arial"/>
        <family val="2"/>
      </rPr>
      <t>- Unknown error: Excel ask save changes when importing testcase using ATT Smart Assistance Tool
- Copy the same macro from V11.7 to 11.7.1
  + Removed Sub AddReq in Mcommon
  + Copied MAddReq, MSupportFunctions</t>
    </r>
  </si>
  <si>
    <t>V12.0</t>
  </si>
  <si>
    <r>
      <t xml:space="preserve">Support MCDC
</t>
    </r>
    <r>
      <rPr>
        <sz val="12"/>
        <rFont val="Arial"/>
        <family val="2"/>
      </rPr>
      <t>- MCDC is integreted to Add Requirement Function
- There is still mal function for condition like: ((a&amp;&amp;b)||(c||d)) --&gt; will be fixex in the next version
- Clear function: MCDC sheet will be clear all instead of being copied MCDC table from Guide sheet</t>
    </r>
  </si>
  <si>
    <t>V12.1</t>
  </si>
  <si>
    <r>
      <t>Support MCDC: Bug fix</t>
    </r>
    <r>
      <rPr>
        <sz val="12"/>
        <rFont val="Arial"/>
        <family val="2"/>
      </rPr>
      <t xml:space="preserve">
- There is still mal function for condition like: ((a&amp;&amp;b)||(c||d)) --&gt; fix
- Change: priotities() array:  priorities of inputs --&gt;  priorities of operator</t>
    </r>
  </si>
  <si>
    <t>V12.2</t>
  </si>
  <si>
    <r>
      <t>Re-enable: Read CSV function</t>
    </r>
    <r>
      <rPr>
        <sz val="12"/>
        <rFont val="Arial"/>
        <family val="2"/>
      </rPr>
      <t xml:space="preserve">
- Re-enable Read CSV function supporting for current TD template</t>
    </r>
  </si>
  <si>
    <t xml:space="preserve">DEFAULT															</t>
  </si>
  <si>
    <t>defaultPath</t>
  </si>
  <si>
    <t>V12.3</t>
  </si>
  <si>
    <r>
      <t>Support MCDC: Improvement and bug fix</t>
    </r>
    <r>
      <rPr>
        <sz val="12"/>
        <rFont val="Arial"/>
        <family val="2"/>
      </rPr>
      <t xml:space="preserve">
- MCDC condition is read from file
- Generate incorrect SumarryMCDCExpression --&gt; fix
</t>
    </r>
    <r>
      <rPr>
        <b/>
        <sz val="12"/>
        <rFont val="Arial"/>
        <family val="2"/>
      </rPr>
      <t>MAX-MIN:</t>
    </r>
    <r>
      <rPr>
        <sz val="12"/>
        <rFont val="Arial"/>
        <family val="2"/>
      </rPr>
      <t xml:space="preserve">
- Rounddown --&gt; Round</t>
    </r>
  </si>
  <si>
    <t>V12.4</t>
  </si>
  <si>
    <r>
      <t>Support MCDC: Improvement</t>
    </r>
    <r>
      <rPr>
        <sz val="12"/>
        <rFont val="Arial"/>
        <family val="2"/>
      </rPr>
      <t xml:space="preserve">
- All requirements (MCDC Tables) are generated automatically with input file</t>
    </r>
  </si>
  <si>
    <t>V12.5</t>
  </si>
  <si>
    <r>
      <t>Support MCDC: Bug fix</t>
    </r>
    <r>
      <rPr>
        <sz val="12"/>
        <rFont val="Arial"/>
        <family val="2"/>
      </rPr>
      <t xml:space="preserve">
- Bug: Generate redundant last requirement --&gt; fix</t>
    </r>
  </si>
  <si>
    <t>Reason for Code Coverage</t>
  </si>
  <si>
    <t>Reason for failed testcases</t>
  </si>
  <si>
    <t>NA</t>
  </si>
  <si>
    <t>V12.6</t>
  </si>
  <si>
    <r>
      <t>Support MCDC: Bug fix</t>
    </r>
    <r>
      <rPr>
        <sz val="12"/>
        <rFont val="Arial"/>
        <family val="2"/>
      </rPr>
      <t xml:space="preserve">
-For MCDC table for 1 contidion: "Check MCDC for condition" --&gt; "Check condition"
- Correct "Ubound", eg. Ubound(inputs) --&gt; (nInputs - 1)</t>
    </r>
  </si>
  <si>
    <t>V12.7</t>
  </si>
  <si>
    <r>
      <t>Support MCDC: Improvement</t>
    </r>
    <r>
      <rPr>
        <sz val="12"/>
        <rFont val="Arial"/>
        <family val="2"/>
      </rPr>
      <t xml:space="preserve">
- Process level for requirement</t>
    </r>
  </si>
  <si>
    <t>V12.8</t>
  </si>
  <si>
    <r>
      <t>Support MCDC: Bug fix</t>
    </r>
    <r>
      <rPr>
        <sz val="12"/>
        <rFont val="Arial"/>
        <family val="2"/>
      </rPr>
      <t xml:space="preserve">
- "if" --&gt; "if " OR "if("</t>
    </r>
  </si>
  <si>
    <t>V12.9</t>
  </si>
  <si>
    <t>Change sequence of button for Knowledge Sharing Session</t>
  </si>
  <si>
    <t>V13.0</t>
  </si>
  <si>
    <t>Support BITAND, BITOR, BITSHIFTL, BITSHIFTR</t>
  </si>
  <si>
    <t>V13.1</t>
  </si>
  <si>
    <r>
      <t xml:space="preserve">Improvements:
- </t>
    </r>
    <r>
      <rPr>
        <sz val="12"/>
        <rFont val="Arial"/>
        <family val="2"/>
      </rPr>
      <t>Generate TC(s): insert column before 'OUPUTS' instead of "LOCAL VARIABLES'</t>
    </r>
  </si>
  <si>
    <t>V13.2</t>
  </si>
  <si>
    <r>
      <t xml:space="preserve">Improvements:
- </t>
    </r>
    <r>
      <rPr>
        <sz val="12"/>
        <rFont val="Arial"/>
        <family val="2"/>
      </rPr>
      <t>Inserted line number
- Change color from YELLOW to LIGHT_BLUE</t>
    </r>
  </si>
  <si>
    <t>V13.3</t>
  </si>
  <si>
    <t>Support MCDC: Bug fix and improvements
- Be able to recognize comments in source code
- Generate wrong MCDC due to MCDC count, check duplicated --&gt; Fix</t>
  </si>
  <si>
    <t>defaultExpression</t>
  </si>
  <si>
    <t>V14.0</t>
  </si>
  <si>
    <r>
      <t xml:space="preserve">Suport Generate FORMULA from Expression
</t>
    </r>
    <r>
      <rPr>
        <sz val="12"/>
        <rFont val="Arial"/>
        <family val="2"/>
      </rPr>
      <t>- Priority: "actual_" --&gt; "" --&gt; "exp_"</t>
    </r>
    <r>
      <rPr>
        <b/>
        <sz val="12"/>
        <rFont val="Arial"/>
        <family val="2"/>
      </rPr>
      <t xml:space="preserve">
GenTC:
</t>
    </r>
    <r>
      <rPr>
        <sz val="12"/>
        <rFont val="Arial"/>
        <family val="2"/>
      </rPr>
      <t>- Support generate multiple TCs</t>
    </r>
  </si>
  <si>
    <r>
      <t xml:space="preserve">Bug fix GenTC:
</t>
    </r>
    <r>
      <rPr>
        <sz val="12"/>
        <rFont val="Arial"/>
        <family val="2"/>
      </rPr>
      <t>- Support generate multiple TCs</t>
    </r>
  </si>
  <si>
    <t>V14.1</t>
  </si>
  <si>
    <t>V14.2</t>
  </si>
  <si>
    <r>
      <t xml:space="preserve">Bug fix AutoMCDC:
</t>
    </r>
    <r>
      <rPr>
        <sz val="12"/>
        <rFont val="Arial"/>
        <family val="2"/>
      </rPr>
      <t>- If(){</t>
    </r>
  </si>
  <si>
    <t>V14.3</t>
  </si>
  <si>
    <r>
      <t xml:space="preserve">Bug fix GenTC
</t>
    </r>
    <r>
      <rPr>
        <sz val="12"/>
        <rFont val="Arial"/>
        <family val="2"/>
      </rPr>
      <t>- ExtractTCNo: Remove all space before processing string.</t>
    </r>
  </si>
  <si>
    <t>V14.4</t>
  </si>
  <si>
    <r>
      <t xml:space="preserve">Improvements
</t>
    </r>
    <r>
      <rPr>
        <sz val="12"/>
        <rFont val="Arial"/>
        <family val="2"/>
      </rPr>
      <t>Added user vvq1hc</t>
    </r>
  </si>
  <si>
    <t>V14.5</t>
  </si>
  <si>
    <r>
      <t xml:space="preserve">Bug fix: Gen MCDC
</t>
    </r>
    <r>
      <rPr>
        <sz val="12"/>
        <rFont val="Arial"/>
        <family val="2"/>
      </rPr>
      <t>- Case "/*"</t>
    </r>
  </si>
  <si>
    <t>SCMFxTarSM+(SCMFxTarAxCtrl)</t>
  </si>
  <si>
    <t>V14.6</t>
  </si>
  <si>
    <r>
      <t xml:space="preserve">Improvements
</t>
    </r>
    <r>
      <rPr>
        <sz val="12"/>
        <rFont val="Arial"/>
        <family val="2"/>
      </rPr>
      <t>- Formula: Updated
- Auto MCDC: Add Browse button</t>
    </r>
  </si>
  <si>
    <t>V14.7</t>
  </si>
  <si>
    <r>
      <t xml:space="preserve">Bug fix and Improvements
</t>
    </r>
    <r>
      <rPr>
        <sz val="12"/>
        <rFont val="Arial"/>
        <family val="2"/>
      </rPr>
      <t>- Module Name: MAddReq --&gt; MMCDC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>- Auto MCDC: Get wrong operator --&gt; fix
- Auto MCDC: Get wrong expression, missing last line with "{"--&gt; fix</t>
    </r>
  </si>
  <si>
    <t>V14.8</t>
  </si>
  <si>
    <r>
      <t xml:space="preserve">Bug fix and Improvements
</t>
    </r>
    <r>
      <rPr>
        <sz val="12"/>
        <rFont val="Arial"/>
        <family val="2"/>
      </rPr>
      <t>- MMaxMin: change to use column relative address</t>
    </r>
  </si>
  <si>
    <t>Vu Quoc Viet (RBVH\EMB3)</t>
  </si>
  <si>
    <r>
      <t xml:space="preserve">Bug fix and Improvements
</t>
    </r>
    <r>
      <rPr>
        <sz val="12"/>
        <rFont val="Arial"/>
        <family val="2"/>
      </rPr>
      <t>Fix error module MGenTC: Const MCDC_SHEET_NAME = "MCDC_Methods" --&gt; Const MCDC_SHEET_NAME = "MCDC"</t>
    </r>
  </si>
  <si>
    <t>V14.9</t>
  </si>
  <si>
    <t>Imported parameters</t>
  </si>
  <si>
    <t>Local parameters</t>
  </si>
  <si>
    <t>LOCAL VARIABLES AS INPUT</t>
  </si>
  <si>
    <t>IMPORTED PARAMETERS</t>
  </si>
  <si>
    <t>LOCAL PARAMETERS</t>
  </si>
  <si>
    <t>Vuong Van Thang (RBVH/ESS2)</t>
  </si>
  <si>
    <r>
      <t xml:space="preserve">Improvement
- </t>
    </r>
    <r>
      <rPr>
        <sz val="12"/>
        <rFont val="Arial"/>
        <family val="2"/>
      </rPr>
      <t>Change the template to match with ESS2 team</t>
    </r>
  </si>
  <si>
    <t>V14.10</t>
  </si>
  <si>
    <t>Signals</t>
  </si>
  <si>
    <t>PARAMETERS</t>
  </si>
  <si>
    <t>30018_ESB1_ASWMT</t>
  </si>
  <si>
    <t>EXTERNAL Nguyen Duy Bang (Ban Vien, RBVH/EPS45)</t>
  </si>
  <si>
    <t>No. of test cases</t>
  </si>
  <si>
    <t>Coverage C0/C1</t>
  </si>
  <si>
    <t>Coverage MCDC</t>
  </si>
  <si>
    <t>100%/100%</t>
  </si>
  <si>
    <t>TC1</t>
  </si>
  <si>
    <t>TC2</t>
  </si>
  <si>
    <t>TC3</t>
  </si>
  <si>
    <t>Check out range max.</t>
  </si>
  <si>
    <t>Check out range min.</t>
  </si>
  <si>
    <t>Check mid value.</t>
  </si>
  <si>
    <t>TC4</t>
  </si>
  <si>
    <t>TC5</t>
  </si>
  <si>
    <t>TC6</t>
  </si>
  <si>
    <t>TC7</t>
  </si>
  <si>
    <t>TC8</t>
  </si>
  <si>
    <t>TC9</t>
  </si>
  <si>
    <t>TC10</t>
  </si>
  <si>
    <t>D:\Temporary\TPA_X07EV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</si>
</sst>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0.0"/>
    <numFmt numFmtId="165" formatCode="[$-409]d\-mmm\-yyyy;@"/>
    <numFmt numFmtId="166" formatCode="0.0%"/>
  </numFmts>
  <fonts count="18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u/>
      <sz val="12"/>
      <name val="Arial"/>
      <family val="2"/>
    </font>
    <font>
      <sz val="12"/>
      <color indexed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9C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4" fillId="0" borderId="0"/>
    <xf numFmtId="0" fontId="4" fillId="0" borderId="0"/>
    <xf numFmtId="0" fontId="1" fillId="0" borderId="0"/>
    <xf numFmtId="44" fontId="2" fillId="0" borderId="0" applyFont="0" applyFill="0" applyBorder="0" applyAlignment="0" applyProtection="0"/>
  </cellStyleXfs>
  <cellXfs count="144">
    <xf numFmtId="0" fontId="0" fillId="0" borderId="0" xfId="0"/>
    <xf numFmtId="0" fontId="5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5" fillId="0" borderId="0" xfId="0" quotePrefix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quotePrefix="1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6" fillId="0" borderId="0" xfId="0" applyFont="1"/>
    <xf numFmtId="0" fontId="5" fillId="6" borderId="0" xfId="0" applyFont="1" applyFill="1"/>
    <xf numFmtId="0" fontId="7" fillId="0" borderId="0" xfId="0" applyFont="1"/>
    <xf numFmtId="0" fontId="5" fillId="0" borderId="1" xfId="0" quotePrefix="1" applyFont="1" applyBorder="1"/>
    <xf numFmtId="0" fontId="5" fillId="0" borderId="0" xfId="0" applyFont="1" applyBorder="1"/>
    <xf numFmtId="0" fontId="5" fillId="0" borderId="0" xfId="0" applyFont="1" applyFill="1" applyBorder="1"/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/>
    <xf numFmtId="0" fontId="5" fillId="0" borderId="0" xfId="0" applyFont="1" applyBorder="1" applyAlignment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 wrapText="1"/>
    </xf>
    <xf numFmtId="0" fontId="5" fillId="0" borderId="1" xfId="0" applyFont="1" applyBorder="1" applyAlignment="1">
      <alignment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Border="1"/>
    <xf numFmtId="0" fontId="6" fillId="0" borderId="0" xfId="0" applyFont="1" applyBorder="1"/>
    <xf numFmtId="0" fontId="5" fillId="0" borderId="0" xfId="0" quotePrefix="1" applyFont="1" applyFill="1" applyBorder="1" applyAlignment="1">
      <alignment horizontal="center" vertical="center"/>
    </xf>
    <xf numFmtId="0" fontId="6" fillId="0" borderId="1" xfId="0" applyFont="1" applyBorder="1" applyAlignment="1">
      <alignment wrapText="1"/>
    </xf>
    <xf numFmtId="0" fontId="15" fillId="0" borderId="1" xfId="0" quotePrefix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vertical="center"/>
    </xf>
    <xf numFmtId="0" fontId="6" fillId="7" borderId="1" xfId="0" applyFont="1" applyFill="1" applyBorder="1" applyAlignment="1">
      <alignment horizontal="left" vertical="center" wrapText="1" shrinkToFit="1"/>
    </xf>
    <xf numFmtId="0" fontId="6" fillId="8" borderId="1" xfId="0" applyFont="1" applyFill="1" applyBorder="1" applyAlignment="1">
      <alignment horizontal="left" vertical="center"/>
    </xf>
    <xf numFmtId="0" fontId="5" fillId="8" borderId="1" xfId="0" applyFont="1" applyFill="1" applyBorder="1"/>
    <xf numFmtId="0" fontId="14" fillId="0" borderId="0" xfId="3"/>
    <xf numFmtId="0" fontId="3" fillId="2" borderId="0" xfId="3" applyFont="1" applyFill="1" applyBorder="1" applyAlignment="1">
      <alignment vertical="center"/>
    </xf>
    <xf numFmtId="0" fontId="14" fillId="0" borderId="2" xfId="3" applyBorder="1"/>
    <xf numFmtId="0" fontId="14" fillId="0" borderId="3" xfId="3" applyBorder="1"/>
    <xf numFmtId="164" fontId="14" fillId="0" borderId="4" xfId="3" applyNumberFormat="1" applyBorder="1"/>
    <xf numFmtId="0" fontId="14" fillId="0" borderId="5" xfId="3" applyBorder="1"/>
    <xf numFmtId="0" fontId="14" fillId="0" borderId="1" xfId="3" applyBorder="1"/>
    <xf numFmtId="164" fontId="14" fillId="0" borderId="6" xfId="3" applyNumberFormat="1" applyBorder="1"/>
    <xf numFmtId="0" fontId="10" fillId="0" borderId="0" xfId="3" applyFont="1"/>
    <xf numFmtId="0" fontId="11" fillId="0" borderId="0" xfId="3" applyFont="1"/>
    <xf numFmtId="0" fontId="9" fillId="0" borderId="0" xfId="3" applyFont="1" applyBorder="1" applyAlignment="1">
      <alignment horizontal="center" vertical="center"/>
    </xf>
    <xf numFmtId="0" fontId="9" fillId="0" borderId="0" xfId="3" applyFont="1"/>
    <xf numFmtId="0" fontId="6" fillId="0" borderId="0" xfId="3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Fill="1" applyBorder="1" applyAlignment="1"/>
    <xf numFmtId="0" fontId="5" fillId="0" borderId="11" xfId="0" applyFont="1" applyFill="1" applyBorder="1" applyAlignment="1"/>
    <xf numFmtId="0" fontId="5" fillId="0" borderId="0" xfId="0" applyFont="1" applyFill="1" applyAlignment="1"/>
    <xf numFmtId="0" fontId="5" fillId="0" borderId="8" xfId="0" applyFont="1" applyFill="1" applyBorder="1" applyAlignment="1"/>
    <xf numFmtId="0" fontId="5" fillId="0" borderId="9" xfId="0" applyFont="1" applyFill="1" applyBorder="1" applyAlignment="1"/>
    <xf numFmtId="0" fontId="5" fillId="0" borderId="0" xfId="0" applyFont="1" applyFill="1" applyBorder="1" applyAlignment="1"/>
    <xf numFmtId="0" fontId="16" fillId="0" borderId="0" xfId="0" applyFont="1" applyFill="1" applyAlignment="1"/>
    <xf numFmtId="44" fontId="6" fillId="9" borderId="12" xfId="1" applyNumberFormat="1" applyFont="1" applyFill="1" applyBorder="1" applyAlignment="1">
      <alignment vertical="center"/>
    </xf>
    <xf numFmtId="0" fontId="6" fillId="9" borderId="12" xfId="0" applyFont="1" applyFill="1" applyBorder="1" applyAlignment="1">
      <alignment horizontal="left" vertical="center"/>
    </xf>
    <xf numFmtId="0" fontId="5" fillId="9" borderId="12" xfId="0" applyFont="1" applyFill="1" applyBorder="1"/>
    <xf numFmtId="0" fontId="5" fillId="0" borderId="13" xfId="0" applyFont="1" applyFill="1" applyBorder="1" applyAlignment="1"/>
    <xf numFmtId="0" fontId="5" fillId="0" borderId="14" xfId="0" applyFont="1" applyFill="1" applyBorder="1" applyAlignment="1"/>
    <xf numFmtId="0" fontId="6" fillId="3" borderId="0" xfId="0" applyFont="1" applyFill="1"/>
    <xf numFmtId="0" fontId="6" fillId="0" borderId="1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65" fontId="5" fillId="0" borderId="1" xfId="0" applyNumberFormat="1" applyFont="1" applyBorder="1"/>
    <xf numFmtId="0" fontId="6" fillId="0" borderId="0" xfId="0" applyFont="1" applyBorder="1" applyAlignment="1">
      <alignment wrapText="1"/>
    </xf>
    <xf numFmtId="165" fontId="5" fillId="0" borderId="0" xfId="0" applyNumberFormat="1" applyFont="1" applyBorder="1"/>
    <xf numFmtId="0" fontId="5" fillId="0" borderId="0" xfId="0" applyFont="1" applyBorder="1" applyAlignment="1">
      <alignment horizontal="left"/>
    </xf>
    <xf numFmtId="0" fontId="9" fillId="5" borderId="18" xfId="3" applyFont="1" applyFill="1" applyBorder="1" applyAlignment="1">
      <alignment horizontal="center"/>
    </xf>
    <xf numFmtId="0" fontId="9" fillId="5" borderId="19" xfId="3" applyFont="1" applyFill="1" applyBorder="1" applyAlignment="1">
      <alignment horizontal="center"/>
    </xf>
    <xf numFmtId="0" fontId="9" fillId="5" borderId="20" xfId="3" applyFont="1" applyFill="1" applyBorder="1" applyAlignment="1">
      <alignment horizontal="center"/>
    </xf>
    <xf numFmtId="164" fontId="14" fillId="0" borderId="21" xfId="3" applyNumberFormat="1" applyBorder="1" applyAlignment="1">
      <alignment horizontal="center"/>
    </xf>
    <xf numFmtId="44" fontId="6" fillId="10" borderId="1" xfId="1" applyNumberFormat="1" applyFont="1" applyFill="1" applyBorder="1" applyAlignment="1">
      <alignment vertical="center"/>
    </xf>
    <xf numFmtId="0" fontId="6" fillId="10" borderId="1" xfId="0" applyFont="1" applyFill="1" applyBorder="1" applyAlignment="1">
      <alignment horizontal="left" vertical="center"/>
    </xf>
    <xf numFmtId="0" fontId="5" fillId="10" borderId="1" xfId="0" applyFont="1" applyFill="1" applyBorder="1"/>
    <xf numFmtId="44" fontId="6" fillId="11" borderId="1" xfId="1" applyNumberFormat="1" applyFont="1" applyFill="1" applyBorder="1" applyAlignment="1">
      <alignment vertical="center"/>
    </xf>
    <xf numFmtId="0" fontId="6" fillId="11" borderId="1" xfId="0" applyFont="1" applyFill="1" applyBorder="1" applyAlignment="1">
      <alignment horizontal="left" vertical="center"/>
    </xf>
    <xf numFmtId="0" fontId="5" fillId="11" borderId="1" xfId="0" applyFont="1" applyFill="1" applyBorder="1"/>
    <xf numFmtId="44" fontId="6" fillId="12" borderId="17" xfId="1" applyNumberFormat="1" applyFont="1" applyFill="1" applyBorder="1" applyAlignment="1">
      <alignment vertical="center"/>
    </xf>
    <xf numFmtId="0" fontId="6" fillId="12" borderId="17" xfId="0" applyFont="1" applyFill="1" applyBorder="1" applyAlignment="1">
      <alignment horizontal="left" vertical="center"/>
    </xf>
    <xf numFmtId="0" fontId="5" fillId="12" borderId="17" xfId="0" applyFont="1" applyFill="1" applyBorder="1"/>
    <xf numFmtId="44" fontId="6" fillId="13" borderId="1" xfId="1" applyNumberFormat="1" applyFont="1" applyFill="1" applyBorder="1" applyAlignment="1">
      <alignment vertical="center"/>
    </xf>
    <xf numFmtId="0" fontId="6" fillId="13" borderId="1" xfId="0" applyFont="1" applyFill="1" applyBorder="1" applyAlignment="1">
      <alignment horizontal="left" vertical="center"/>
    </xf>
    <xf numFmtId="0" fontId="5" fillId="13" borderId="1" xfId="0" applyFont="1" applyFill="1" applyBorder="1"/>
    <xf numFmtId="0" fontId="5" fillId="0" borderId="0" xfId="0" applyFont="1" applyBorder="1" applyAlignment="1">
      <alignment wrapText="1"/>
    </xf>
    <xf numFmtId="0" fontId="10" fillId="0" borderId="0" xfId="3" applyFont="1" applyAlignment="1">
      <alignment horizontal="center"/>
    </xf>
    <xf numFmtId="0" fontId="6" fillId="0" borderId="0" xfId="4" applyFont="1"/>
    <xf numFmtId="0" fontId="5" fillId="0" borderId="0" xfId="4" applyFont="1"/>
    <xf numFmtId="0" fontId="17" fillId="0" borderId="0" xfId="0" applyFont="1"/>
    <xf numFmtId="0" fontId="5" fillId="0" borderId="10" xfId="4" applyFont="1" applyFill="1" applyBorder="1" applyAlignment="1"/>
    <xf numFmtId="0" fontId="5" fillId="0" borderId="13" xfId="4" applyFont="1" applyFill="1" applyBorder="1" applyAlignment="1"/>
    <xf numFmtId="0" fontId="5" fillId="0" borderId="8" xfId="4" applyFont="1" applyBorder="1"/>
    <xf numFmtId="0" fontId="5" fillId="0" borderId="0" xfId="4" applyFont="1" applyBorder="1"/>
    <xf numFmtId="0" fontId="5" fillId="0" borderId="11" xfId="4" applyFont="1" applyFill="1" applyBorder="1" applyAlignment="1"/>
    <xf numFmtId="0" fontId="5" fillId="0" borderId="14" xfId="4" applyFont="1" applyFill="1" applyBorder="1" applyAlignment="1"/>
    <xf numFmtId="0" fontId="5" fillId="0" borderId="9" xfId="4" applyFont="1" applyBorder="1"/>
    <xf numFmtId="0" fontId="16" fillId="0" borderId="0" xfId="4" applyFont="1" applyFill="1" applyAlignment="1"/>
    <xf numFmtId="0" fontId="5" fillId="0" borderId="8" xfId="4" applyFont="1" applyFill="1" applyBorder="1" applyAlignment="1"/>
    <xf numFmtId="0" fontId="5" fillId="0" borderId="0" xfId="4" applyFont="1" applyFill="1" applyBorder="1" applyAlignment="1"/>
    <xf numFmtId="0" fontId="5" fillId="0" borderId="9" xfId="4" applyFont="1" applyFill="1" applyBorder="1" applyAlignment="1"/>
    <xf numFmtId="0" fontId="5" fillId="0" borderId="0" xfId="4" applyFont="1" applyFill="1" applyAlignment="1"/>
    <xf numFmtId="0" fontId="6" fillId="0" borderId="1" xfId="4" applyFont="1" applyBorder="1"/>
    <xf numFmtId="0" fontId="6" fillId="7" borderId="1" xfId="4" applyFont="1" applyFill="1" applyBorder="1" applyAlignment="1">
      <alignment horizontal="left" vertical="center" wrapText="1" shrinkToFit="1"/>
    </xf>
    <xf numFmtId="44" fontId="6" fillId="9" borderId="12" xfId="2" applyNumberFormat="1" applyFont="1" applyFill="1" applyBorder="1" applyAlignment="1">
      <alignment vertical="center"/>
    </xf>
    <xf numFmtId="44" fontId="6" fillId="14" borderId="1" xfId="6" applyNumberFormat="1" applyFont="1" applyFill="1" applyBorder="1" applyAlignment="1">
      <alignment vertical="center"/>
    </xf>
    <xf numFmtId="44" fontId="6" fillId="15" borderId="1" xfId="2" applyNumberFormat="1" applyFont="1" applyFill="1" applyBorder="1" applyAlignment="1">
      <alignment vertical="center"/>
    </xf>
    <xf numFmtId="0" fontId="6" fillId="16" borderId="1" xfId="0" applyFont="1" applyFill="1" applyBorder="1" applyAlignment="1">
      <alignment vertical="center"/>
    </xf>
    <xf numFmtId="0" fontId="6" fillId="0" borderId="1" xfId="4" applyFont="1" applyFill="1" applyBorder="1" applyAlignment="1">
      <alignment vertical="center"/>
    </xf>
    <xf numFmtId="44" fontId="6" fillId="13" borderId="1" xfId="6" applyNumberFormat="1" applyFont="1" applyFill="1" applyBorder="1" applyAlignment="1">
      <alignment vertical="center"/>
    </xf>
    <xf numFmtId="0" fontId="5" fillId="7" borderId="1" xfId="4" applyFont="1" applyFill="1" applyBorder="1" applyAlignment="1">
      <alignment horizontal="left" vertical="center" wrapText="1"/>
    </xf>
    <xf numFmtId="0" fontId="6" fillId="9" borderId="12" xfId="4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5" borderId="1" xfId="4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0" borderId="1" xfId="4" applyFont="1" applyFill="1" applyBorder="1" applyAlignment="1">
      <alignment horizontal="left" vertical="center"/>
    </xf>
    <xf numFmtId="0" fontId="5" fillId="0" borderId="1" xfId="4" applyFont="1" applyBorder="1"/>
    <xf numFmtId="0" fontId="5" fillId="9" borderId="12" xfId="4" applyFont="1" applyFill="1" applyBorder="1"/>
    <xf numFmtId="0" fontId="5" fillId="14" borderId="1" xfId="0" applyFont="1" applyFill="1" applyBorder="1"/>
    <xf numFmtId="0" fontId="5" fillId="15" borderId="1" xfId="4" applyFont="1" applyFill="1" applyBorder="1"/>
    <xf numFmtId="0" fontId="5" fillId="16" borderId="1" xfId="0" applyFont="1" applyFill="1" applyBorder="1"/>
    <xf numFmtId="0" fontId="5" fillId="0" borderId="1" xfId="4" applyFont="1" applyBorder="1" applyAlignment="1">
      <alignment wrapText="1"/>
    </xf>
    <xf numFmtId="0" fontId="2" fillId="0" borderId="22" xfId="3" applyFont="1" applyBorder="1" applyAlignment="1">
      <alignment horizontal="center" vertical="center" wrapText="1"/>
    </xf>
    <xf numFmtId="165" fontId="2" fillId="0" borderId="7" xfId="3" quotePrefix="1" applyNumberFormat="1" applyFont="1" applyBorder="1" applyAlignment="1">
      <alignment horizontal="center" vertical="center"/>
    </xf>
    <xf numFmtId="0" fontId="2" fillId="0" borderId="1" xfId="3" applyFont="1" applyBorder="1" applyAlignment="1">
      <alignment horizontal="left" vertical="center" wrapText="1"/>
    </xf>
    <xf numFmtId="165" fontId="2" fillId="0" borderId="5" xfId="3" quotePrefix="1" applyNumberFormat="1" applyFont="1" applyBorder="1" applyAlignment="1">
      <alignment horizontal="center" vertical="center"/>
    </xf>
    <xf numFmtId="0" fontId="4" fillId="0" borderId="0" xfId="4"/>
    <xf numFmtId="0" fontId="9" fillId="4" borderId="1" xfId="4" applyFont="1" applyFill="1" applyBorder="1" applyAlignment="1">
      <alignment horizontal="center"/>
    </xf>
    <xf numFmtId="0" fontId="2" fillId="0" borderId="1" xfId="4" applyFont="1" applyBorder="1"/>
    <xf numFmtId="0" fontId="4" fillId="0" borderId="1" xfId="4" applyBorder="1"/>
    <xf numFmtId="166" fontId="2" fillId="0" borderId="1" xfId="4" applyNumberFormat="1" applyFont="1" applyBorder="1"/>
    <xf numFmtId="166" fontId="4" fillId="0" borderId="1" xfId="4" applyNumberFormat="1" applyBorder="1"/>
    <xf numFmtId="0" fontId="2" fillId="0" borderId="1" xfId="4" applyFont="1" applyBorder="1" applyAlignment="1">
      <alignment wrapText="1"/>
    </xf>
    <xf numFmtId="44" fontId="6" fillId="12" borderId="1" xfId="6" applyNumberFormat="1" applyFont="1" applyFill="1" applyBorder="1" applyAlignment="1">
      <alignment vertical="center"/>
    </xf>
    <xf numFmtId="0" fontId="6" fillId="12" borderId="1" xfId="0" applyFont="1" applyFill="1" applyBorder="1" applyAlignment="1">
      <alignment horizontal="left" vertical="center"/>
    </xf>
    <xf numFmtId="0" fontId="5" fillId="12" borderId="1" xfId="0" applyFont="1" applyFill="1" applyBorder="1"/>
    <xf numFmtId="0" fontId="10" fillId="2" borderId="0" xfId="3" applyFont="1" applyFill="1" applyBorder="1" applyAlignment="1">
      <alignment horizontal="center" vertical="center"/>
    </xf>
    <xf numFmtId="0" fontId="10" fillId="0" borderId="0" xfId="3" applyFont="1" applyAlignment="1">
      <alignment horizontal="center"/>
    </xf>
    <xf numFmtId="0" fontId="9" fillId="0" borderId="23" xfId="4" applyFont="1" applyBorder="1" applyAlignment="1">
      <alignment horizontal="center"/>
    </xf>
  </cellXfs>
  <cellStyles count="7">
    <cellStyle name="Currency" xfId="1" builtinId="4"/>
    <cellStyle name="Currency 2" xfId="2"/>
    <cellStyle name="Currency 3" xfId="6"/>
    <cellStyle name="Normal" xfId="0" builtinId="0"/>
    <cellStyle name="Normal 2" xfId="3"/>
    <cellStyle name="Normal 3" xfId="4"/>
    <cellStyle name="Normal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3075" name="Object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oleObject" Target="../embeddings/Microsoft_Word_97_-_2003_Document2.doc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Microsoft_Word_97_-_2003_Document1.doc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Relationship Id="rId9" Type="http://schemas.openxmlformats.org/officeDocument/2006/relationships/oleObject" Target="../embeddings/Microsoft_Word_97_-_2003_Document3.doc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B30" sqref="B30"/>
    </sheetView>
  </sheetViews>
  <sheetFormatPr defaultRowHeight="15"/>
  <cols>
    <col min="1" max="1" width="20.28515625" style="37" customWidth="1"/>
    <col min="2" max="2" width="42.140625" style="37" customWidth="1"/>
    <col min="3" max="3" width="23" style="37" customWidth="1"/>
    <col min="4" max="4" width="14.5703125" style="37" customWidth="1"/>
    <col min="5" max="5" width="11.7109375" style="37" customWidth="1"/>
    <col min="6" max="7" width="9.140625" style="37"/>
    <col min="8" max="8" width="11.140625" style="37" customWidth="1"/>
    <col min="9" max="9" width="10.5703125" style="37" customWidth="1"/>
    <col min="10" max="256" width="9.140625" style="37"/>
    <col min="257" max="257" width="20.28515625" style="37" customWidth="1"/>
    <col min="258" max="258" width="42.140625" style="37" customWidth="1"/>
    <col min="259" max="259" width="23" style="37" customWidth="1"/>
    <col min="260" max="260" width="14.5703125" style="37" customWidth="1"/>
    <col min="261" max="261" width="11.7109375" style="37" customWidth="1"/>
    <col min="262" max="263" width="9.140625" style="37"/>
    <col min="264" max="264" width="11.140625" style="37" customWidth="1"/>
    <col min="265" max="265" width="10.5703125" style="37" customWidth="1"/>
    <col min="266" max="512" width="9.140625" style="37"/>
    <col min="513" max="513" width="20.28515625" style="37" customWidth="1"/>
    <col min="514" max="514" width="42.140625" style="37" customWidth="1"/>
    <col min="515" max="515" width="23" style="37" customWidth="1"/>
    <col min="516" max="516" width="14.5703125" style="37" customWidth="1"/>
    <col min="517" max="517" width="11.7109375" style="37" customWidth="1"/>
    <col min="518" max="519" width="9.140625" style="37"/>
    <col min="520" max="520" width="11.140625" style="37" customWidth="1"/>
    <col min="521" max="521" width="10.5703125" style="37" customWidth="1"/>
    <col min="522" max="768" width="9.140625" style="37"/>
    <col min="769" max="769" width="20.28515625" style="37" customWidth="1"/>
    <col min="770" max="770" width="42.140625" style="37" customWidth="1"/>
    <col min="771" max="771" width="23" style="37" customWidth="1"/>
    <col min="772" max="772" width="14.5703125" style="37" customWidth="1"/>
    <col min="773" max="773" width="11.7109375" style="37" customWidth="1"/>
    <col min="774" max="775" width="9.140625" style="37"/>
    <col min="776" max="776" width="11.140625" style="37" customWidth="1"/>
    <col min="777" max="777" width="10.5703125" style="37" customWidth="1"/>
    <col min="778" max="1024" width="9.140625" style="37"/>
    <col min="1025" max="1025" width="20.28515625" style="37" customWidth="1"/>
    <col min="1026" max="1026" width="42.140625" style="37" customWidth="1"/>
    <col min="1027" max="1027" width="23" style="37" customWidth="1"/>
    <col min="1028" max="1028" width="14.5703125" style="37" customWidth="1"/>
    <col min="1029" max="1029" width="11.7109375" style="37" customWidth="1"/>
    <col min="1030" max="1031" width="9.140625" style="37"/>
    <col min="1032" max="1032" width="11.140625" style="37" customWidth="1"/>
    <col min="1033" max="1033" width="10.5703125" style="37" customWidth="1"/>
    <col min="1034" max="1280" width="9.140625" style="37"/>
    <col min="1281" max="1281" width="20.28515625" style="37" customWidth="1"/>
    <col min="1282" max="1282" width="42.140625" style="37" customWidth="1"/>
    <col min="1283" max="1283" width="23" style="37" customWidth="1"/>
    <col min="1284" max="1284" width="14.5703125" style="37" customWidth="1"/>
    <col min="1285" max="1285" width="11.7109375" style="37" customWidth="1"/>
    <col min="1286" max="1287" width="9.140625" style="37"/>
    <col min="1288" max="1288" width="11.140625" style="37" customWidth="1"/>
    <col min="1289" max="1289" width="10.5703125" style="37" customWidth="1"/>
    <col min="1290" max="1536" width="9.140625" style="37"/>
    <col min="1537" max="1537" width="20.28515625" style="37" customWidth="1"/>
    <col min="1538" max="1538" width="42.140625" style="37" customWidth="1"/>
    <col min="1539" max="1539" width="23" style="37" customWidth="1"/>
    <col min="1540" max="1540" width="14.5703125" style="37" customWidth="1"/>
    <col min="1541" max="1541" width="11.7109375" style="37" customWidth="1"/>
    <col min="1542" max="1543" width="9.140625" style="37"/>
    <col min="1544" max="1544" width="11.140625" style="37" customWidth="1"/>
    <col min="1545" max="1545" width="10.5703125" style="37" customWidth="1"/>
    <col min="1546" max="1792" width="9.140625" style="37"/>
    <col min="1793" max="1793" width="20.28515625" style="37" customWidth="1"/>
    <col min="1794" max="1794" width="42.140625" style="37" customWidth="1"/>
    <col min="1795" max="1795" width="23" style="37" customWidth="1"/>
    <col min="1796" max="1796" width="14.5703125" style="37" customWidth="1"/>
    <col min="1797" max="1797" width="11.7109375" style="37" customWidth="1"/>
    <col min="1798" max="1799" width="9.140625" style="37"/>
    <col min="1800" max="1800" width="11.140625" style="37" customWidth="1"/>
    <col min="1801" max="1801" width="10.5703125" style="37" customWidth="1"/>
    <col min="1802" max="2048" width="9.140625" style="37"/>
    <col min="2049" max="2049" width="20.28515625" style="37" customWidth="1"/>
    <col min="2050" max="2050" width="42.140625" style="37" customWidth="1"/>
    <col min="2051" max="2051" width="23" style="37" customWidth="1"/>
    <col min="2052" max="2052" width="14.5703125" style="37" customWidth="1"/>
    <col min="2053" max="2053" width="11.7109375" style="37" customWidth="1"/>
    <col min="2054" max="2055" width="9.140625" style="37"/>
    <col min="2056" max="2056" width="11.140625" style="37" customWidth="1"/>
    <col min="2057" max="2057" width="10.5703125" style="37" customWidth="1"/>
    <col min="2058" max="2304" width="9.140625" style="37"/>
    <col min="2305" max="2305" width="20.28515625" style="37" customWidth="1"/>
    <col min="2306" max="2306" width="42.140625" style="37" customWidth="1"/>
    <col min="2307" max="2307" width="23" style="37" customWidth="1"/>
    <col min="2308" max="2308" width="14.5703125" style="37" customWidth="1"/>
    <col min="2309" max="2309" width="11.7109375" style="37" customWidth="1"/>
    <col min="2310" max="2311" width="9.140625" style="37"/>
    <col min="2312" max="2312" width="11.140625" style="37" customWidth="1"/>
    <col min="2313" max="2313" width="10.5703125" style="37" customWidth="1"/>
    <col min="2314" max="2560" width="9.140625" style="37"/>
    <col min="2561" max="2561" width="20.28515625" style="37" customWidth="1"/>
    <col min="2562" max="2562" width="42.140625" style="37" customWidth="1"/>
    <col min="2563" max="2563" width="23" style="37" customWidth="1"/>
    <col min="2564" max="2564" width="14.5703125" style="37" customWidth="1"/>
    <col min="2565" max="2565" width="11.7109375" style="37" customWidth="1"/>
    <col min="2566" max="2567" width="9.140625" style="37"/>
    <col min="2568" max="2568" width="11.140625" style="37" customWidth="1"/>
    <col min="2569" max="2569" width="10.5703125" style="37" customWidth="1"/>
    <col min="2570" max="2816" width="9.140625" style="37"/>
    <col min="2817" max="2817" width="20.28515625" style="37" customWidth="1"/>
    <col min="2818" max="2818" width="42.140625" style="37" customWidth="1"/>
    <col min="2819" max="2819" width="23" style="37" customWidth="1"/>
    <col min="2820" max="2820" width="14.5703125" style="37" customWidth="1"/>
    <col min="2821" max="2821" width="11.7109375" style="37" customWidth="1"/>
    <col min="2822" max="2823" width="9.140625" style="37"/>
    <col min="2824" max="2824" width="11.140625" style="37" customWidth="1"/>
    <col min="2825" max="2825" width="10.5703125" style="37" customWidth="1"/>
    <col min="2826" max="3072" width="9.140625" style="37"/>
    <col min="3073" max="3073" width="20.28515625" style="37" customWidth="1"/>
    <col min="3074" max="3074" width="42.140625" style="37" customWidth="1"/>
    <col min="3075" max="3075" width="23" style="37" customWidth="1"/>
    <col min="3076" max="3076" width="14.5703125" style="37" customWidth="1"/>
    <col min="3077" max="3077" width="11.7109375" style="37" customWidth="1"/>
    <col min="3078" max="3079" width="9.140625" style="37"/>
    <col min="3080" max="3080" width="11.140625" style="37" customWidth="1"/>
    <col min="3081" max="3081" width="10.5703125" style="37" customWidth="1"/>
    <col min="3082" max="3328" width="9.140625" style="37"/>
    <col min="3329" max="3329" width="20.28515625" style="37" customWidth="1"/>
    <col min="3330" max="3330" width="42.140625" style="37" customWidth="1"/>
    <col min="3331" max="3331" width="23" style="37" customWidth="1"/>
    <col min="3332" max="3332" width="14.5703125" style="37" customWidth="1"/>
    <col min="3333" max="3333" width="11.7109375" style="37" customWidth="1"/>
    <col min="3334" max="3335" width="9.140625" style="37"/>
    <col min="3336" max="3336" width="11.140625" style="37" customWidth="1"/>
    <col min="3337" max="3337" width="10.5703125" style="37" customWidth="1"/>
    <col min="3338" max="3584" width="9.140625" style="37"/>
    <col min="3585" max="3585" width="20.28515625" style="37" customWidth="1"/>
    <col min="3586" max="3586" width="42.140625" style="37" customWidth="1"/>
    <col min="3587" max="3587" width="23" style="37" customWidth="1"/>
    <col min="3588" max="3588" width="14.5703125" style="37" customWidth="1"/>
    <col min="3589" max="3589" width="11.7109375" style="37" customWidth="1"/>
    <col min="3590" max="3591" width="9.140625" style="37"/>
    <col min="3592" max="3592" width="11.140625" style="37" customWidth="1"/>
    <col min="3593" max="3593" width="10.5703125" style="37" customWidth="1"/>
    <col min="3594" max="3840" width="9.140625" style="37"/>
    <col min="3841" max="3841" width="20.28515625" style="37" customWidth="1"/>
    <col min="3842" max="3842" width="42.140625" style="37" customWidth="1"/>
    <col min="3843" max="3843" width="23" style="37" customWidth="1"/>
    <col min="3844" max="3844" width="14.5703125" style="37" customWidth="1"/>
    <col min="3845" max="3845" width="11.7109375" style="37" customWidth="1"/>
    <col min="3846" max="3847" width="9.140625" style="37"/>
    <col min="3848" max="3848" width="11.140625" style="37" customWidth="1"/>
    <col min="3849" max="3849" width="10.5703125" style="37" customWidth="1"/>
    <col min="3850" max="4096" width="9.140625" style="37"/>
    <col min="4097" max="4097" width="20.28515625" style="37" customWidth="1"/>
    <col min="4098" max="4098" width="42.140625" style="37" customWidth="1"/>
    <col min="4099" max="4099" width="23" style="37" customWidth="1"/>
    <col min="4100" max="4100" width="14.5703125" style="37" customWidth="1"/>
    <col min="4101" max="4101" width="11.7109375" style="37" customWidth="1"/>
    <col min="4102" max="4103" width="9.140625" style="37"/>
    <col min="4104" max="4104" width="11.140625" style="37" customWidth="1"/>
    <col min="4105" max="4105" width="10.5703125" style="37" customWidth="1"/>
    <col min="4106" max="4352" width="9.140625" style="37"/>
    <col min="4353" max="4353" width="20.28515625" style="37" customWidth="1"/>
    <col min="4354" max="4354" width="42.140625" style="37" customWidth="1"/>
    <col min="4355" max="4355" width="23" style="37" customWidth="1"/>
    <col min="4356" max="4356" width="14.5703125" style="37" customWidth="1"/>
    <col min="4357" max="4357" width="11.7109375" style="37" customWidth="1"/>
    <col min="4358" max="4359" width="9.140625" style="37"/>
    <col min="4360" max="4360" width="11.140625" style="37" customWidth="1"/>
    <col min="4361" max="4361" width="10.5703125" style="37" customWidth="1"/>
    <col min="4362" max="4608" width="9.140625" style="37"/>
    <col min="4609" max="4609" width="20.28515625" style="37" customWidth="1"/>
    <col min="4610" max="4610" width="42.140625" style="37" customWidth="1"/>
    <col min="4611" max="4611" width="23" style="37" customWidth="1"/>
    <col min="4612" max="4612" width="14.5703125" style="37" customWidth="1"/>
    <col min="4613" max="4613" width="11.7109375" style="37" customWidth="1"/>
    <col min="4614" max="4615" width="9.140625" style="37"/>
    <col min="4616" max="4616" width="11.140625" style="37" customWidth="1"/>
    <col min="4617" max="4617" width="10.5703125" style="37" customWidth="1"/>
    <col min="4618" max="4864" width="9.140625" style="37"/>
    <col min="4865" max="4865" width="20.28515625" style="37" customWidth="1"/>
    <col min="4866" max="4866" width="42.140625" style="37" customWidth="1"/>
    <col min="4867" max="4867" width="23" style="37" customWidth="1"/>
    <col min="4868" max="4868" width="14.5703125" style="37" customWidth="1"/>
    <col min="4869" max="4869" width="11.7109375" style="37" customWidth="1"/>
    <col min="4870" max="4871" width="9.140625" style="37"/>
    <col min="4872" max="4872" width="11.140625" style="37" customWidth="1"/>
    <col min="4873" max="4873" width="10.5703125" style="37" customWidth="1"/>
    <col min="4874" max="5120" width="9.140625" style="37"/>
    <col min="5121" max="5121" width="20.28515625" style="37" customWidth="1"/>
    <col min="5122" max="5122" width="42.140625" style="37" customWidth="1"/>
    <col min="5123" max="5123" width="23" style="37" customWidth="1"/>
    <col min="5124" max="5124" width="14.5703125" style="37" customWidth="1"/>
    <col min="5125" max="5125" width="11.7109375" style="37" customWidth="1"/>
    <col min="5126" max="5127" width="9.140625" style="37"/>
    <col min="5128" max="5128" width="11.140625" style="37" customWidth="1"/>
    <col min="5129" max="5129" width="10.5703125" style="37" customWidth="1"/>
    <col min="5130" max="5376" width="9.140625" style="37"/>
    <col min="5377" max="5377" width="20.28515625" style="37" customWidth="1"/>
    <col min="5378" max="5378" width="42.140625" style="37" customWidth="1"/>
    <col min="5379" max="5379" width="23" style="37" customWidth="1"/>
    <col min="5380" max="5380" width="14.5703125" style="37" customWidth="1"/>
    <col min="5381" max="5381" width="11.7109375" style="37" customWidth="1"/>
    <col min="5382" max="5383" width="9.140625" style="37"/>
    <col min="5384" max="5384" width="11.140625" style="37" customWidth="1"/>
    <col min="5385" max="5385" width="10.5703125" style="37" customWidth="1"/>
    <col min="5386" max="5632" width="9.140625" style="37"/>
    <col min="5633" max="5633" width="20.28515625" style="37" customWidth="1"/>
    <col min="5634" max="5634" width="42.140625" style="37" customWidth="1"/>
    <col min="5635" max="5635" width="23" style="37" customWidth="1"/>
    <col min="5636" max="5636" width="14.5703125" style="37" customWidth="1"/>
    <col min="5637" max="5637" width="11.7109375" style="37" customWidth="1"/>
    <col min="5638" max="5639" width="9.140625" style="37"/>
    <col min="5640" max="5640" width="11.140625" style="37" customWidth="1"/>
    <col min="5641" max="5641" width="10.5703125" style="37" customWidth="1"/>
    <col min="5642" max="5888" width="9.140625" style="37"/>
    <col min="5889" max="5889" width="20.28515625" style="37" customWidth="1"/>
    <col min="5890" max="5890" width="42.140625" style="37" customWidth="1"/>
    <col min="5891" max="5891" width="23" style="37" customWidth="1"/>
    <col min="5892" max="5892" width="14.5703125" style="37" customWidth="1"/>
    <col min="5893" max="5893" width="11.7109375" style="37" customWidth="1"/>
    <col min="5894" max="5895" width="9.140625" style="37"/>
    <col min="5896" max="5896" width="11.140625" style="37" customWidth="1"/>
    <col min="5897" max="5897" width="10.5703125" style="37" customWidth="1"/>
    <col min="5898" max="6144" width="9.140625" style="37"/>
    <col min="6145" max="6145" width="20.28515625" style="37" customWidth="1"/>
    <col min="6146" max="6146" width="42.140625" style="37" customWidth="1"/>
    <col min="6147" max="6147" width="23" style="37" customWidth="1"/>
    <col min="6148" max="6148" width="14.5703125" style="37" customWidth="1"/>
    <col min="6149" max="6149" width="11.7109375" style="37" customWidth="1"/>
    <col min="6150" max="6151" width="9.140625" style="37"/>
    <col min="6152" max="6152" width="11.140625" style="37" customWidth="1"/>
    <col min="6153" max="6153" width="10.5703125" style="37" customWidth="1"/>
    <col min="6154" max="6400" width="9.140625" style="37"/>
    <col min="6401" max="6401" width="20.28515625" style="37" customWidth="1"/>
    <col min="6402" max="6402" width="42.140625" style="37" customWidth="1"/>
    <col min="6403" max="6403" width="23" style="37" customWidth="1"/>
    <col min="6404" max="6404" width="14.5703125" style="37" customWidth="1"/>
    <col min="6405" max="6405" width="11.7109375" style="37" customWidth="1"/>
    <col min="6406" max="6407" width="9.140625" style="37"/>
    <col min="6408" max="6408" width="11.140625" style="37" customWidth="1"/>
    <col min="6409" max="6409" width="10.5703125" style="37" customWidth="1"/>
    <col min="6410" max="6656" width="9.140625" style="37"/>
    <col min="6657" max="6657" width="20.28515625" style="37" customWidth="1"/>
    <col min="6658" max="6658" width="42.140625" style="37" customWidth="1"/>
    <col min="6659" max="6659" width="23" style="37" customWidth="1"/>
    <col min="6660" max="6660" width="14.5703125" style="37" customWidth="1"/>
    <col min="6661" max="6661" width="11.7109375" style="37" customWidth="1"/>
    <col min="6662" max="6663" width="9.140625" style="37"/>
    <col min="6664" max="6664" width="11.140625" style="37" customWidth="1"/>
    <col min="6665" max="6665" width="10.5703125" style="37" customWidth="1"/>
    <col min="6666" max="6912" width="9.140625" style="37"/>
    <col min="6913" max="6913" width="20.28515625" style="37" customWidth="1"/>
    <col min="6914" max="6914" width="42.140625" style="37" customWidth="1"/>
    <col min="6915" max="6915" width="23" style="37" customWidth="1"/>
    <col min="6916" max="6916" width="14.5703125" style="37" customWidth="1"/>
    <col min="6917" max="6917" width="11.7109375" style="37" customWidth="1"/>
    <col min="6918" max="6919" width="9.140625" style="37"/>
    <col min="6920" max="6920" width="11.140625" style="37" customWidth="1"/>
    <col min="6921" max="6921" width="10.5703125" style="37" customWidth="1"/>
    <col min="6922" max="7168" width="9.140625" style="37"/>
    <col min="7169" max="7169" width="20.28515625" style="37" customWidth="1"/>
    <col min="7170" max="7170" width="42.140625" style="37" customWidth="1"/>
    <col min="7171" max="7171" width="23" style="37" customWidth="1"/>
    <col min="7172" max="7172" width="14.5703125" style="37" customWidth="1"/>
    <col min="7173" max="7173" width="11.7109375" style="37" customWidth="1"/>
    <col min="7174" max="7175" width="9.140625" style="37"/>
    <col min="7176" max="7176" width="11.140625" style="37" customWidth="1"/>
    <col min="7177" max="7177" width="10.5703125" style="37" customWidth="1"/>
    <col min="7178" max="7424" width="9.140625" style="37"/>
    <col min="7425" max="7425" width="20.28515625" style="37" customWidth="1"/>
    <col min="7426" max="7426" width="42.140625" style="37" customWidth="1"/>
    <col min="7427" max="7427" width="23" style="37" customWidth="1"/>
    <col min="7428" max="7428" width="14.5703125" style="37" customWidth="1"/>
    <col min="7429" max="7429" width="11.7109375" style="37" customWidth="1"/>
    <col min="7430" max="7431" width="9.140625" style="37"/>
    <col min="7432" max="7432" width="11.140625" style="37" customWidth="1"/>
    <col min="7433" max="7433" width="10.5703125" style="37" customWidth="1"/>
    <col min="7434" max="7680" width="9.140625" style="37"/>
    <col min="7681" max="7681" width="20.28515625" style="37" customWidth="1"/>
    <col min="7682" max="7682" width="42.140625" style="37" customWidth="1"/>
    <col min="7683" max="7683" width="23" style="37" customWidth="1"/>
    <col min="7684" max="7684" width="14.5703125" style="37" customWidth="1"/>
    <col min="7685" max="7685" width="11.7109375" style="37" customWidth="1"/>
    <col min="7686" max="7687" width="9.140625" style="37"/>
    <col min="7688" max="7688" width="11.140625" style="37" customWidth="1"/>
    <col min="7689" max="7689" width="10.5703125" style="37" customWidth="1"/>
    <col min="7690" max="7936" width="9.140625" style="37"/>
    <col min="7937" max="7937" width="20.28515625" style="37" customWidth="1"/>
    <col min="7938" max="7938" width="42.140625" style="37" customWidth="1"/>
    <col min="7939" max="7939" width="23" style="37" customWidth="1"/>
    <col min="7940" max="7940" width="14.5703125" style="37" customWidth="1"/>
    <col min="7941" max="7941" width="11.7109375" style="37" customWidth="1"/>
    <col min="7942" max="7943" width="9.140625" style="37"/>
    <col min="7944" max="7944" width="11.140625" style="37" customWidth="1"/>
    <col min="7945" max="7945" width="10.5703125" style="37" customWidth="1"/>
    <col min="7946" max="8192" width="9.140625" style="37"/>
    <col min="8193" max="8193" width="20.28515625" style="37" customWidth="1"/>
    <col min="8194" max="8194" width="42.140625" style="37" customWidth="1"/>
    <col min="8195" max="8195" width="23" style="37" customWidth="1"/>
    <col min="8196" max="8196" width="14.5703125" style="37" customWidth="1"/>
    <col min="8197" max="8197" width="11.7109375" style="37" customWidth="1"/>
    <col min="8198" max="8199" width="9.140625" style="37"/>
    <col min="8200" max="8200" width="11.140625" style="37" customWidth="1"/>
    <col min="8201" max="8201" width="10.5703125" style="37" customWidth="1"/>
    <col min="8202" max="8448" width="9.140625" style="37"/>
    <col min="8449" max="8449" width="20.28515625" style="37" customWidth="1"/>
    <col min="8450" max="8450" width="42.140625" style="37" customWidth="1"/>
    <col min="8451" max="8451" width="23" style="37" customWidth="1"/>
    <col min="8452" max="8452" width="14.5703125" style="37" customWidth="1"/>
    <col min="8453" max="8453" width="11.7109375" style="37" customWidth="1"/>
    <col min="8454" max="8455" width="9.140625" style="37"/>
    <col min="8456" max="8456" width="11.140625" style="37" customWidth="1"/>
    <col min="8457" max="8457" width="10.5703125" style="37" customWidth="1"/>
    <col min="8458" max="8704" width="9.140625" style="37"/>
    <col min="8705" max="8705" width="20.28515625" style="37" customWidth="1"/>
    <col min="8706" max="8706" width="42.140625" style="37" customWidth="1"/>
    <col min="8707" max="8707" width="23" style="37" customWidth="1"/>
    <col min="8708" max="8708" width="14.5703125" style="37" customWidth="1"/>
    <col min="8709" max="8709" width="11.7109375" style="37" customWidth="1"/>
    <col min="8710" max="8711" width="9.140625" style="37"/>
    <col min="8712" max="8712" width="11.140625" style="37" customWidth="1"/>
    <col min="8713" max="8713" width="10.5703125" style="37" customWidth="1"/>
    <col min="8714" max="8960" width="9.140625" style="37"/>
    <col min="8961" max="8961" width="20.28515625" style="37" customWidth="1"/>
    <col min="8962" max="8962" width="42.140625" style="37" customWidth="1"/>
    <col min="8963" max="8963" width="23" style="37" customWidth="1"/>
    <col min="8964" max="8964" width="14.5703125" style="37" customWidth="1"/>
    <col min="8965" max="8965" width="11.7109375" style="37" customWidth="1"/>
    <col min="8966" max="8967" width="9.140625" style="37"/>
    <col min="8968" max="8968" width="11.140625" style="37" customWidth="1"/>
    <col min="8969" max="8969" width="10.5703125" style="37" customWidth="1"/>
    <col min="8970" max="9216" width="9.140625" style="37"/>
    <col min="9217" max="9217" width="20.28515625" style="37" customWidth="1"/>
    <col min="9218" max="9218" width="42.140625" style="37" customWidth="1"/>
    <col min="9219" max="9219" width="23" style="37" customWidth="1"/>
    <col min="9220" max="9220" width="14.5703125" style="37" customWidth="1"/>
    <col min="9221" max="9221" width="11.7109375" style="37" customWidth="1"/>
    <col min="9222" max="9223" width="9.140625" style="37"/>
    <col min="9224" max="9224" width="11.140625" style="37" customWidth="1"/>
    <col min="9225" max="9225" width="10.5703125" style="37" customWidth="1"/>
    <col min="9226" max="9472" width="9.140625" style="37"/>
    <col min="9473" max="9473" width="20.28515625" style="37" customWidth="1"/>
    <col min="9474" max="9474" width="42.140625" style="37" customWidth="1"/>
    <col min="9475" max="9475" width="23" style="37" customWidth="1"/>
    <col min="9476" max="9476" width="14.5703125" style="37" customWidth="1"/>
    <col min="9477" max="9477" width="11.7109375" style="37" customWidth="1"/>
    <col min="9478" max="9479" width="9.140625" style="37"/>
    <col min="9480" max="9480" width="11.140625" style="37" customWidth="1"/>
    <col min="9481" max="9481" width="10.5703125" style="37" customWidth="1"/>
    <col min="9482" max="9728" width="9.140625" style="37"/>
    <col min="9729" max="9729" width="20.28515625" style="37" customWidth="1"/>
    <col min="9730" max="9730" width="42.140625" style="37" customWidth="1"/>
    <col min="9731" max="9731" width="23" style="37" customWidth="1"/>
    <col min="9732" max="9732" width="14.5703125" style="37" customWidth="1"/>
    <col min="9733" max="9733" width="11.7109375" style="37" customWidth="1"/>
    <col min="9734" max="9735" width="9.140625" style="37"/>
    <col min="9736" max="9736" width="11.140625" style="37" customWidth="1"/>
    <col min="9737" max="9737" width="10.5703125" style="37" customWidth="1"/>
    <col min="9738" max="9984" width="9.140625" style="37"/>
    <col min="9985" max="9985" width="20.28515625" style="37" customWidth="1"/>
    <col min="9986" max="9986" width="42.140625" style="37" customWidth="1"/>
    <col min="9987" max="9987" width="23" style="37" customWidth="1"/>
    <col min="9988" max="9988" width="14.5703125" style="37" customWidth="1"/>
    <col min="9989" max="9989" width="11.7109375" style="37" customWidth="1"/>
    <col min="9990" max="9991" width="9.140625" style="37"/>
    <col min="9992" max="9992" width="11.140625" style="37" customWidth="1"/>
    <col min="9993" max="9993" width="10.5703125" style="37" customWidth="1"/>
    <col min="9994" max="10240" width="9.140625" style="37"/>
    <col min="10241" max="10241" width="20.28515625" style="37" customWidth="1"/>
    <col min="10242" max="10242" width="42.140625" style="37" customWidth="1"/>
    <col min="10243" max="10243" width="23" style="37" customWidth="1"/>
    <col min="10244" max="10244" width="14.5703125" style="37" customWidth="1"/>
    <col min="10245" max="10245" width="11.7109375" style="37" customWidth="1"/>
    <col min="10246" max="10247" width="9.140625" style="37"/>
    <col min="10248" max="10248" width="11.140625" style="37" customWidth="1"/>
    <col min="10249" max="10249" width="10.5703125" style="37" customWidth="1"/>
    <col min="10250" max="10496" width="9.140625" style="37"/>
    <col min="10497" max="10497" width="20.28515625" style="37" customWidth="1"/>
    <col min="10498" max="10498" width="42.140625" style="37" customWidth="1"/>
    <col min="10499" max="10499" width="23" style="37" customWidth="1"/>
    <col min="10500" max="10500" width="14.5703125" style="37" customWidth="1"/>
    <col min="10501" max="10501" width="11.7109375" style="37" customWidth="1"/>
    <col min="10502" max="10503" width="9.140625" style="37"/>
    <col min="10504" max="10504" width="11.140625" style="37" customWidth="1"/>
    <col min="10505" max="10505" width="10.5703125" style="37" customWidth="1"/>
    <col min="10506" max="10752" width="9.140625" style="37"/>
    <col min="10753" max="10753" width="20.28515625" style="37" customWidth="1"/>
    <col min="10754" max="10754" width="42.140625" style="37" customWidth="1"/>
    <col min="10755" max="10755" width="23" style="37" customWidth="1"/>
    <col min="10756" max="10756" width="14.5703125" style="37" customWidth="1"/>
    <col min="10757" max="10757" width="11.7109375" style="37" customWidth="1"/>
    <col min="10758" max="10759" width="9.140625" style="37"/>
    <col min="10760" max="10760" width="11.140625" style="37" customWidth="1"/>
    <col min="10761" max="10761" width="10.5703125" style="37" customWidth="1"/>
    <col min="10762" max="11008" width="9.140625" style="37"/>
    <col min="11009" max="11009" width="20.28515625" style="37" customWidth="1"/>
    <col min="11010" max="11010" width="42.140625" style="37" customWidth="1"/>
    <col min="11011" max="11011" width="23" style="37" customWidth="1"/>
    <col min="11012" max="11012" width="14.5703125" style="37" customWidth="1"/>
    <col min="11013" max="11013" width="11.7109375" style="37" customWidth="1"/>
    <col min="11014" max="11015" width="9.140625" style="37"/>
    <col min="11016" max="11016" width="11.140625" style="37" customWidth="1"/>
    <col min="11017" max="11017" width="10.5703125" style="37" customWidth="1"/>
    <col min="11018" max="11264" width="9.140625" style="37"/>
    <col min="11265" max="11265" width="20.28515625" style="37" customWidth="1"/>
    <col min="11266" max="11266" width="42.140625" style="37" customWidth="1"/>
    <col min="11267" max="11267" width="23" style="37" customWidth="1"/>
    <col min="11268" max="11268" width="14.5703125" style="37" customWidth="1"/>
    <col min="11269" max="11269" width="11.7109375" style="37" customWidth="1"/>
    <col min="11270" max="11271" width="9.140625" style="37"/>
    <col min="11272" max="11272" width="11.140625" style="37" customWidth="1"/>
    <col min="11273" max="11273" width="10.5703125" style="37" customWidth="1"/>
    <col min="11274" max="11520" width="9.140625" style="37"/>
    <col min="11521" max="11521" width="20.28515625" style="37" customWidth="1"/>
    <col min="11522" max="11522" width="42.140625" style="37" customWidth="1"/>
    <col min="11523" max="11523" width="23" style="37" customWidth="1"/>
    <col min="11524" max="11524" width="14.5703125" style="37" customWidth="1"/>
    <col min="11525" max="11525" width="11.7109375" style="37" customWidth="1"/>
    <col min="11526" max="11527" width="9.140625" style="37"/>
    <col min="11528" max="11528" width="11.140625" style="37" customWidth="1"/>
    <col min="11529" max="11529" width="10.5703125" style="37" customWidth="1"/>
    <col min="11530" max="11776" width="9.140625" style="37"/>
    <col min="11777" max="11777" width="20.28515625" style="37" customWidth="1"/>
    <col min="11778" max="11778" width="42.140625" style="37" customWidth="1"/>
    <col min="11779" max="11779" width="23" style="37" customWidth="1"/>
    <col min="11780" max="11780" width="14.5703125" style="37" customWidth="1"/>
    <col min="11781" max="11781" width="11.7109375" style="37" customWidth="1"/>
    <col min="11782" max="11783" width="9.140625" style="37"/>
    <col min="11784" max="11784" width="11.140625" style="37" customWidth="1"/>
    <col min="11785" max="11785" width="10.5703125" style="37" customWidth="1"/>
    <col min="11786" max="12032" width="9.140625" style="37"/>
    <col min="12033" max="12033" width="20.28515625" style="37" customWidth="1"/>
    <col min="12034" max="12034" width="42.140625" style="37" customWidth="1"/>
    <col min="12035" max="12035" width="23" style="37" customWidth="1"/>
    <col min="12036" max="12036" width="14.5703125" style="37" customWidth="1"/>
    <col min="12037" max="12037" width="11.7109375" style="37" customWidth="1"/>
    <col min="12038" max="12039" width="9.140625" style="37"/>
    <col min="12040" max="12040" width="11.140625" style="37" customWidth="1"/>
    <col min="12041" max="12041" width="10.5703125" style="37" customWidth="1"/>
    <col min="12042" max="12288" width="9.140625" style="37"/>
    <col min="12289" max="12289" width="20.28515625" style="37" customWidth="1"/>
    <col min="12290" max="12290" width="42.140625" style="37" customWidth="1"/>
    <col min="12291" max="12291" width="23" style="37" customWidth="1"/>
    <col min="12292" max="12292" width="14.5703125" style="37" customWidth="1"/>
    <col min="12293" max="12293" width="11.7109375" style="37" customWidth="1"/>
    <col min="12294" max="12295" width="9.140625" style="37"/>
    <col min="12296" max="12296" width="11.140625" style="37" customWidth="1"/>
    <col min="12297" max="12297" width="10.5703125" style="37" customWidth="1"/>
    <col min="12298" max="12544" width="9.140625" style="37"/>
    <col min="12545" max="12545" width="20.28515625" style="37" customWidth="1"/>
    <col min="12546" max="12546" width="42.140625" style="37" customWidth="1"/>
    <col min="12547" max="12547" width="23" style="37" customWidth="1"/>
    <col min="12548" max="12548" width="14.5703125" style="37" customWidth="1"/>
    <col min="12549" max="12549" width="11.7109375" style="37" customWidth="1"/>
    <col min="12550" max="12551" width="9.140625" style="37"/>
    <col min="12552" max="12552" width="11.140625" style="37" customWidth="1"/>
    <col min="12553" max="12553" width="10.5703125" style="37" customWidth="1"/>
    <col min="12554" max="12800" width="9.140625" style="37"/>
    <col min="12801" max="12801" width="20.28515625" style="37" customWidth="1"/>
    <col min="12802" max="12802" width="42.140625" style="37" customWidth="1"/>
    <col min="12803" max="12803" width="23" style="37" customWidth="1"/>
    <col min="12804" max="12804" width="14.5703125" style="37" customWidth="1"/>
    <col min="12805" max="12805" width="11.7109375" style="37" customWidth="1"/>
    <col min="12806" max="12807" width="9.140625" style="37"/>
    <col min="12808" max="12808" width="11.140625" style="37" customWidth="1"/>
    <col min="12809" max="12809" width="10.5703125" style="37" customWidth="1"/>
    <col min="12810" max="13056" width="9.140625" style="37"/>
    <col min="13057" max="13057" width="20.28515625" style="37" customWidth="1"/>
    <col min="13058" max="13058" width="42.140625" style="37" customWidth="1"/>
    <col min="13059" max="13059" width="23" style="37" customWidth="1"/>
    <col min="13060" max="13060" width="14.5703125" style="37" customWidth="1"/>
    <col min="13061" max="13061" width="11.7109375" style="37" customWidth="1"/>
    <col min="13062" max="13063" width="9.140625" style="37"/>
    <col min="13064" max="13064" width="11.140625" style="37" customWidth="1"/>
    <col min="13065" max="13065" width="10.5703125" style="37" customWidth="1"/>
    <col min="13066" max="13312" width="9.140625" style="37"/>
    <col min="13313" max="13313" width="20.28515625" style="37" customWidth="1"/>
    <col min="13314" max="13314" width="42.140625" style="37" customWidth="1"/>
    <col min="13315" max="13315" width="23" style="37" customWidth="1"/>
    <col min="13316" max="13316" width="14.5703125" style="37" customWidth="1"/>
    <col min="13317" max="13317" width="11.7109375" style="37" customWidth="1"/>
    <col min="13318" max="13319" width="9.140625" style="37"/>
    <col min="13320" max="13320" width="11.140625" style="37" customWidth="1"/>
    <col min="13321" max="13321" width="10.5703125" style="37" customWidth="1"/>
    <col min="13322" max="13568" width="9.140625" style="37"/>
    <col min="13569" max="13569" width="20.28515625" style="37" customWidth="1"/>
    <col min="13570" max="13570" width="42.140625" style="37" customWidth="1"/>
    <col min="13571" max="13571" width="23" style="37" customWidth="1"/>
    <col min="13572" max="13572" width="14.5703125" style="37" customWidth="1"/>
    <col min="13573" max="13573" width="11.7109375" style="37" customWidth="1"/>
    <col min="13574" max="13575" width="9.140625" style="37"/>
    <col min="13576" max="13576" width="11.140625" style="37" customWidth="1"/>
    <col min="13577" max="13577" width="10.5703125" style="37" customWidth="1"/>
    <col min="13578" max="13824" width="9.140625" style="37"/>
    <col min="13825" max="13825" width="20.28515625" style="37" customWidth="1"/>
    <col min="13826" max="13826" width="42.140625" style="37" customWidth="1"/>
    <col min="13827" max="13827" width="23" style="37" customWidth="1"/>
    <col min="13828" max="13828" width="14.5703125" style="37" customWidth="1"/>
    <col min="13829" max="13829" width="11.7109375" style="37" customWidth="1"/>
    <col min="13830" max="13831" width="9.140625" style="37"/>
    <col min="13832" max="13832" width="11.140625" style="37" customWidth="1"/>
    <col min="13833" max="13833" width="10.5703125" style="37" customWidth="1"/>
    <col min="13834" max="14080" width="9.140625" style="37"/>
    <col min="14081" max="14081" width="20.28515625" style="37" customWidth="1"/>
    <col min="14082" max="14082" width="42.140625" style="37" customWidth="1"/>
    <col min="14083" max="14083" width="23" style="37" customWidth="1"/>
    <col min="14084" max="14084" width="14.5703125" style="37" customWidth="1"/>
    <col min="14085" max="14085" width="11.7109375" style="37" customWidth="1"/>
    <col min="14086" max="14087" width="9.140625" style="37"/>
    <col min="14088" max="14088" width="11.140625" style="37" customWidth="1"/>
    <col min="14089" max="14089" width="10.5703125" style="37" customWidth="1"/>
    <col min="14090" max="14336" width="9.140625" style="37"/>
    <col min="14337" max="14337" width="20.28515625" style="37" customWidth="1"/>
    <col min="14338" max="14338" width="42.140625" style="37" customWidth="1"/>
    <col min="14339" max="14339" width="23" style="37" customWidth="1"/>
    <col min="14340" max="14340" width="14.5703125" style="37" customWidth="1"/>
    <col min="14341" max="14341" width="11.7109375" style="37" customWidth="1"/>
    <col min="14342" max="14343" width="9.140625" style="37"/>
    <col min="14344" max="14344" width="11.140625" style="37" customWidth="1"/>
    <col min="14345" max="14345" width="10.5703125" style="37" customWidth="1"/>
    <col min="14346" max="14592" width="9.140625" style="37"/>
    <col min="14593" max="14593" width="20.28515625" style="37" customWidth="1"/>
    <col min="14594" max="14594" width="42.140625" style="37" customWidth="1"/>
    <col min="14595" max="14595" width="23" style="37" customWidth="1"/>
    <col min="14596" max="14596" width="14.5703125" style="37" customWidth="1"/>
    <col min="14597" max="14597" width="11.7109375" style="37" customWidth="1"/>
    <col min="14598" max="14599" width="9.140625" style="37"/>
    <col min="14600" max="14600" width="11.140625" style="37" customWidth="1"/>
    <col min="14601" max="14601" width="10.5703125" style="37" customWidth="1"/>
    <col min="14602" max="14848" width="9.140625" style="37"/>
    <col min="14849" max="14849" width="20.28515625" style="37" customWidth="1"/>
    <col min="14850" max="14850" width="42.140625" style="37" customWidth="1"/>
    <col min="14851" max="14851" width="23" style="37" customWidth="1"/>
    <col min="14852" max="14852" width="14.5703125" style="37" customWidth="1"/>
    <col min="14853" max="14853" width="11.7109375" style="37" customWidth="1"/>
    <col min="14854" max="14855" width="9.140625" style="37"/>
    <col min="14856" max="14856" width="11.140625" style="37" customWidth="1"/>
    <col min="14857" max="14857" width="10.5703125" style="37" customWidth="1"/>
    <col min="14858" max="15104" width="9.140625" style="37"/>
    <col min="15105" max="15105" width="20.28515625" style="37" customWidth="1"/>
    <col min="15106" max="15106" width="42.140625" style="37" customWidth="1"/>
    <col min="15107" max="15107" width="23" style="37" customWidth="1"/>
    <col min="15108" max="15108" width="14.5703125" style="37" customWidth="1"/>
    <col min="15109" max="15109" width="11.7109375" style="37" customWidth="1"/>
    <col min="15110" max="15111" width="9.140625" style="37"/>
    <col min="15112" max="15112" width="11.140625" style="37" customWidth="1"/>
    <col min="15113" max="15113" width="10.5703125" style="37" customWidth="1"/>
    <col min="15114" max="15360" width="9.140625" style="37"/>
    <col min="15361" max="15361" width="20.28515625" style="37" customWidth="1"/>
    <col min="15362" max="15362" width="42.140625" style="37" customWidth="1"/>
    <col min="15363" max="15363" width="23" style="37" customWidth="1"/>
    <col min="15364" max="15364" width="14.5703125" style="37" customWidth="1"/>
    <col min="15365" max="15365" width="11.7109375" style="37" customWidth="1"/>
    <col min="15366" max="15367" width="9.140625" style="37"/>
    <col min="15368" max="15368" width="11.140625" style="37" customWidth="1"/>
    <col min="15369" max="15369" width="10.5703125" style="37" customWidth="1"/>
    <col min="15370" max="15616" width="9.140625" style="37"/>
    <col min="15617" max="15617" width="20.28515625" style="37" customWidth="1"/>
    <col min="15618" max="15618" width="42.140625" style="37" customWidth="1"/>
    <col min="15619" max="15619" width="23" style="37" customWidth="1"/>
    <col min="15620" max="15620" width="14.5703125" style="37" customWidth="1"/>
    <col min="15621" max="15621" width="11.7109375" style="37" customWidth="1"/>
    <col min="15622" max="15623" width="9.140625" style="37"/>
    <col min="15624" max="15624" width="11.140625" style="37" customWidth="1"/>
    <col min="15625" max="15625" width="10.5703125" style="37" customWidth="1"/>
    <col min="15626" max="15872" width="9.140625" style="37"/>
    <col min="15873" max="15873" width="20.28515625" style="37" customWidth="1"/>
    <col min="15874" max="15874" width="42.140625" style="37" customWidth="1"/>
    <col min="15875" max="15875" width="23" style="37" customWidth="1"/>
    <col min="15876" max="15876" width="14.5703125" style="37" customWidth="1"/>
    <col min="15877" max="15877" width="11.7109375" style="37" customWidth="1"/>
    <col min="15878" max="15879" width="9.140625" style="37"/>
    <col min="15880" max="15880" width="11.140625" style="37" customWidth="1"/>
    <col min="15881" max="15881" width="10.5703125" style="37" customWidth="1"/>
    <col min="15882" max="16128" width="9.140625" style="37"/>
    <col min="16129" max="16129" width="20.28515625" style="37" customWidth="1"/>
    <col min="16130" max="16130" width="42.140625" style="37" customWidth="1"/>
    <col min="16131" max="16131" width="23" style="37" customWidth="1"/>
    <col min="16132" max="16132" width="14.5703125" style="37" customWidth="1"/>
    <col min="16133" max="16133" width="11.7109375" style="37" customWidth="1"/>
    <col min="16134" max="16135" width="9.140625" style="37"/>
    <col min="16136" max="16136" width="11.140625" style="37" customWidth="1"/>
    <col min="16137" max="16137" width="10.5703125" style="37" customWidth="1"/>
    <col min="16138" max="16384" width="9.140625" style="37"/>
  </cols>
  <sheetData>
    <row r="1" spans="1:9" ht="23.25" customHeight="1">
      <c r="A1" s="47"/>
      <c r="B1" s="141" t="s">
        <v>165</v>
      </c>
      <c r="C1" s="141"/>
      <c r="D1" s="141"/>
      <c r="E1" s="141"/>
      <c r="F1" s="47"/>
      <c r="G1" s="47"/>
      <c r="H1" s="47"/>
      <c r="I1" s="47"/>
    </row>
    <row r="2" spans="1:9" ht="23.25" customHeight="1">
      <c r="A2" s="47"/>
      <c r="B2" s="142" t="s">
        <v>256</v>
      </c>
      <c r="C2" s="142"/>
      <c r="D2" s="142"/>
      <c r="E2" s="142"/>
      <c r="F2" s="47"/>
      <c r="G2" s="47"/>
      <c r="H2" s="47"/>
      <c r="I2" s="47"/>
    </row>
    <row r="3" spans="1:9" ht="20.25">
      <c r="A3" s="47"/>
      <c r="B3" s="91"/>
      <c r="C3" s="91"/>
      <c r="D3" s="91"/>
      <c r="E3" s="91"/>
      <c r="F3" s="47"/>
      <c r="G3" s="47"/>
      <c r="H3" s="47"/>
      <c r="I3" s="47"/>
    </row>
    <row r="4" spans="1:9" ht="20.25">
      <c r="A4" s="45" t="s">
        <v>158</v>
      </c>
      <c r="C4" s="45"/>
      <c r="D4" s="48"/>
    </row>
    <row r="5" spans="1:9" ht="12" customHeight="1">
      <c r="A5" s="46" t="s">
        <v>157</v>
      </c>
      <c r="C5" s="45"/>
      <c r="D5" s="48"/>
    </row>
    <row r="6" spans="1:9" ht="20.25">
      <c r="A6" s="38"/>
      <c r="C6" s="45"/>
      <c r="D6" s="48"/>
    </row>
    <row r="7" spans="1:9" ht="15.75">
      <c r="A7" s="49" t="s">
        <v>156</v>
      </c>
      <c r="B7" s="48"/>
    </row>
    <row r="8" spans="1:9" ht="15.75">
      <c r="A8" s="49" t="s">
        <v>155</v>
      </c>
      <c r="B8" s="48" t="s">
        <v>257</v>
      </c>
    </row>
    <row r="9" spans="1:9">
      <c r="A9" s="38"/>
      <c r="C9" s="48"/>
    </row>
    <row r="10" spans="1:9">
      <c r="A10" s="47"/>
      <c r="B10" s="47"/>
      <c r="C10" s="47"/>
      <c r="D10" s="47"/>
      <c r="E10" s="47"/>
      <c r="F10" s="47"/>
      <c r="G10" s="47"/>
      <c r="H10" s="47"/>
      <c r="I10" s="47"/>
    </row>
    <row r="11" spans="1:9" ht="21" customHeight="1">
      <c r="A11" s="45" t="s">
        <v>160</v>
      </c>
      <c r="B11" s="47"/>
      <c r="C11" s="47"/>
      <c r="D11" s="47"/>
      <c r="E11" s="47"/>
      <c r="F11" s="47"/>
      <c r="G11" s="47"/>
      <c r="H11" s="47"/>
      <c r="I11" s="47"/>
    </row>
    <row r="12" spans="1:9" ht="12" customHeight="1">
      <c r="A12" s="46" t="s">
        <v>154</v>
      </c>
    </row>
    <row r="15" spans="1:9" ht="21" thickBot="1">
      <c r="A15" s="45" t="s">
        <v>153</v>
      </c>
    </row>
    <row r="16" spans="1:9" ht="15.75" thickBot="1">
      <c r="A16" s="74" t="s">
        <v>152</v>
      </c>
      <c r="B16" s="75" t="s">
        <v>151</v>
      </c>
      <c r="C16" s="75" t="s">
        <v>150</v>
      </c>
      <c r="D16" s="76" t="s">
        <v>149</v>
      </c>
    </row>
    <row r="17" spans="1:4" ht="38.25">
      <c r="A17" s="77">
        <v>1</v>
      </c>
      <c r="B17" s="127" t="s">
        <v>166</v>
      </c>
      <c r="C17" s="127" t="s">
        <v>257</v>
      </c>
      <c r="D17" s="128"/>
    </row>
    <row r="18" spans="1:4">
      <c r="A18" s="44"/>
      <c r="B18" s="129"/>
      <c r="C18" s="43"/>
      <c r="D18" s="130"/>
    </row>
    <row r="19" spans="1:4">
      <c r="A19" s="44"/>
      <c r="B19" s="43"/>
      <c r="C19" s="43"/>
      <c r="D19" s="42"/>
    </row>
    <row r="20" spans="1:4">
      <c r="A20" s="44"/>
      <c r="B20" s="43"/>
      <c r="C20" s="43"/>
      <c r="D20" s="42"/>
    </row>
    <row r="21" spans="1:4">
      <c r="A21" s="44"/>
      <c r="B21" s="43"/>
      <c r="C21" s="43"/>
      <c r="D21" s="42"/>
    </row>
    <row r="22" spans="1:4" ht="15.75" thickBot="1">
      <c r="A22" s="41"/>
      <c r="B22" s="40"/>
      <c r="C22" s="40"/>
      <c r="D22" s="39"/>
    </row>
    <row r="23" spans="1:4">
      <c r="A23" s="38"/>
    </row>
  </sheetData>
  <mergeCells count="2">
    <mergeCell ref="B1:E1"/>
    <mergeCell ref="B2:E2"/>
  </mergeCells>
  <pageMargins left="0.7" right="0.7" top="0.75" bottom="0.75" header="0.3" footer="0.3"/>
  <pageSetup orientation="portrait" horizontalDpi="300" verticalDpi="0" r:id="rId1"/>
  <drawing r:id="rId2"/>
  <legacyDrawing r:id="rId3"/>
  <oleObjects>
    <mc:AlternateContent xmlns:mc="http://schemas.openxmlformats.org/markup-compatibility/2006">
      <mc:Choice Requires="x14">
        <oleObject progId="Word.Document.8" shapeId="3073" r:id="rId4">
          <objectPr defaultSize="0" autoPict="0" r:id="rId5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3073" r:id="rId4"/>
      </mc:Fallback>
    </mc:AlternateContent>
    <mc:AlternateContent xmlns:mc="http://schemas.openxmlformats.org/markup-compatibility/2006">
      <mc:Choice Requires="x14">
        <oleObject progId="Word.Document.8" shapeId="3074" r:id="rId6">
          <objectPr defaultSize="0" autoPict="0" r:id="rId5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3074" r:id="rId6"/>
      </mc:Fallback>
    </mc:AlternateContent>
    <mc:AlternateContent xmlns:mc="http://schemas.openxmlformats.org/markup-compatibility/2006">
      <mc:Choice Requires="x14">
        <oleObject progId="Word.Document.8" shapeId="3075" r:id="rId7">
          <objectPr defaultSize="0" autoPict="0" r:id="rId8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3075" r:id="rId7"/>
      </mc:Fallback>
    </mc:AlternateContent>
    <mc:AlternateContent xmlns:mc="http://schemas.openxmlformats.org/markup-compatibility/2006">
      <mc:Choice Requires="x14">
        <oleObject progId="Word.Document.8" shapeId="3076" r:id="rId9">
          <objectPr defaultSize="0" autoPict="0" r:id="rId8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3076" r:id="rId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"/>
  <sheetViews>
    <sheetView workbookViewId="0">
      <selection activeCell="C24" sqref="C24"/>
    </sheetView>
  </sheetViews>
  <sheetFormatPr defaultRowHeight="12.75"/>
  <cols>
    <col min="1" max="1" width="22.7109375" style="131" customWidth="1"/>
    <col min="2" max="2" width="24.42578125" style="131" bestFit="1" customWidth="1"/>
    <col min="3" max="3" width="77.42578125" style="131" customWidth="1"/>
    <col min="4" max="4" width="70.7109375" style="131" customWidth="1"/>
    <col min="5" max="256" width="9.140625" style="131"/>
    <col min="257" max="257" width="22.7109375" style="131" customWidth="1"/>
    <col min="258" max="258" width="24.42578125" style="131" bestFit="1" customWidth="1"/>
    <col min="259" max="259" width="93.85546875" style="131" customWidth="1"/>
    <col min="260" max="260" width="96.140625" style="131" customWidth="1"/>
    <col min="261" max="512" width="9.140625" style="131"/>
    <col min="513" max="513" width="22.7109375" style="131" customWidth="1"/>
    <col min="514" max="514" width="24.42578125" style="131" bestFit="1" customWidth="1"/>
    <col min="515" max="515" width="93.85546875" style="131" customWidth="1"/>
    <col min="516" max="516" width="96.140625" style="131" customWidth="1"/>
    <col min="517" max="768" width="9.140625" style="131"/>
    <col min="769" max="769" width="22.7109375" style="131" customWidth="1"/>
    <col min="770" max="770" width="24.42578125" style="131" bestFit="1" customWidth="1"/>
    <col min="771" max="771" width="93.85546875" style="131" customWidth="1"/>
    <col min="772" max="772" width="96.140625" style="131" customWidth="1"/>
    <col min="773" max="1024" width="9.140625" style="131"/>
    <col min="1025" max="1025" width="22.7109375" style="131" customWidth="1"/>
    <col min="1026" max="1026" width="24.42578125" style="131" bestFit="1" customWidth="1"/>
    <col min="1027" max="1027" width="93.85546875" style="131" customWidth="1"/>
    <col min="1028" max="1028" width="96.140625" style="131" customWidth="1"/>
    <col min="1029" max="1280" width="9.140625" style="131"/>
    <col min="1281" max="1281" width="22.7109375" style="131" customWidth="1"/>
    <col min="1282" max="1282" width="24.42578125" style="131" bestFit="1" customWidth="1"/>
    <col min="1283" max="1283" width="93.85546875" style="131" customWidth="1"/>
    <col min="1284" max="1284" width="96.140625" style="131" customWidth="1"/>
    <col min="1285" max="1536" width="9.140625" style="131"/>
    <col min="1537" max="1537" width="22.7109375" style="131" customWidth="1"/>
    <col min="1538" max="1538" width="24.42578125" style="131" bestFit="1" customWidth="1"/>
    <col min="1539" max="1539" width="93.85546875" style="131" customWidth="1"/>
    <col min="1540" max="1540" width="96.140625" style="131" customWidth="1"/>
    <col min="1541" max="1792" width="9.140625" style="131"/>
    <col min="1793" max="1793" width="22.7109375" style="131" customWidth="1"/>
    <col min="1794" max="1794" width="24.42578125" style="131" bestFit="1" customWidth="1"/>
    <col min="1795" max="1795" width="93.85546875" style="131" customWidth="1"/>
    <col min="1796" max="1796" width="96.140625" style="131" customWidth="1"/>
    <col min="1797" max="2048" width="9.140625" style="131"/>
    <col min="2049" max="2049" width="22.7109375" style="131" customWidth="1"/>
    <col min="2050" max="2050" width="24.42578125" style="131" bestFit="1" customWidth="1"/>
    <col min="2051" max="2051" width="93.85546875" style="131" customWidth="1"/>
    <col min="2052" max="2052" width="96.140625" style="131" customWidth="1"/>
    <col min="2053" max="2304" width="9.140625" style="131"/>
    <col min="2305" max="2305" width="22.7109375" style="131" customWidth="1"/>
    <col min="2306" max="2306" width="24.42578125" style="131" bestFit="1" customWidth="1"/>
    <col min="2307" max="2307" width="93.85546875" style="131" customWidth="1"/>
    <col min="2308" max="2308" width="96.140625" style="131" customWidth="1"/>
    <col min="2309" max="2560" width="9.140625" style="131"/>
    <col min="2561" max="2561" width="22.7109375" style="131" customWidth="1"/>
    <col min="2562" max="2562" width="24.42578125" style="131" bestFit="1" customWidth="1"/>
    <col min="2563" max="2563" width="93.85546875" style="131" customWidth="1"/>
    <col min="2564" max="2564" width="96.140625" style="131" customWidth="1"/>
    <col min="2565" max="2816" width="9.140625" style="131"/>
    <col min="2817" max="2817" width="22.7109375" style="131" customWidth="1"/>
    <col min="2818" max="2818" width="24.42578125" style="131" bestFit="1" customWidth="1"/>
    <col min="2819" max="2819" width="93.85546875" style="131" customWidth="1"/>
    <col min="2820" max="2820" width="96.140625" style="131" customWidth="1"/>
    <col min="2821" max="3072" width="9.140625" style="131"/>
    <col min="3073" max="3073" width="22.7109375" style="131" customWidth="1"/>
    <col min="3074" max="3074" width="24.42578125" style="131" bestFit="1" customWidth="1"/>
    <col min="3075" max="3075" width="93.85546875" style="131" customWidth="1"/>
    <col min="3076" max="3076" width="96.140625" style="131" customWidth="1"/>
    <col min="3077" max="3328" width="9.140625" style="131"/>
    <col min="3329" max="3329" width="22.7109375" style="131" customWidth="1"/>
    <col min="3330" max="3330" width="24.42578125" style="131" bestFit="1" customWidth="1"/>
    <col min="3331" max="3331" width="93.85546875" style="131" customWidth="1"/>
    <col min="3332" max="3332" width="96.140625" style="131" customWidth="1"/>
    <col min="3333" max="3584" width="9.140625" style="131"/>
    <col min="3585" max="3585" width="22.7109375" style="131" customWidth="1"/>
    <col min="3586" max="3586" width="24.42578125" style="131" bestFit="1" customWidth="1"/>
    <col min="3587" max="3587" width="93.85546875" style="131" customWidth="1"/>
    <col min="3588" max="3588" width="96.140625" style="131" customWidth="1"/>
    <col min="3589" max="3840" width="9.140625" style="131"/>
    <col min="3841" max="3841" width="22.7109375" style="131" customWidth="1"/>
    <col min="3842" max="3842" width="24.42578125" style="131" bestFit="1" customWidth="1"/>
    <col min="3843" max="3843" width="93.85546875" style="131" customWidth="1"/>
    <col min="3844" max="3844" width="96.140625" style="131" customWidth="1"/>
    <col min="3845" max="4096" width="9.140625" style="131"/>
    <col min="4097" max="4097" width="22.7109375" style="131" customWidth="1"/>
    <col min="4098" max="4098" width="24.42578125" style="131" bestFit="1" customWidth="1"/>
    <col min="4099" max="4099" width="93.85546875" style="131" customWidth="1"/>
    <col min="4100" max="4100" width="96.140625" style="131" customWidth="1"/>
    <col min="4101" max="4352" width="9.140625" style="131"/>
    <col min="4353" max="4353" width="22.7109375" style="131" customWidth="1"/>
    <col min="4354" max="4354" width="24.42578125" style="131" bestFit="1" customWidth="1"/>
    <col min="4355" max="4355" width="93.85546875" style="131" customWidth="1"/>
    <col min="4356" max="4356" width="96.140625" style="131" customWidth="1"/>
    <col min="4357" max="4608" width="9.140625" style="131"/>
    <col min="4609" max="4609" width="22.7109375" style="131" customWidth="1"/>
    <col min="4610" max="4610" width="24.42578125" style="131" bestFit="1" customWidth="1"/>
    <col min="4611" max="4611" width="93.85546875" style="131" customWidth="1"/>
    <col min="4612" max="4612" width="96.140625" style="131" customWidth="1"/>
    <col min="4613" max="4864" width="9.140625" style="131"/>
    <col min="4865" max="4865" width="22.7109375" style="131" customWidth="1"/>
    <col min="4866" max="4866" width="24.42578125" style="131" bestFit="1" customWidth="1"/>
    <col min="4867" max="4867" width="93.85546875" style="131" customWidth="1"/>
    <col min="4868" max="4868" width="96.140625" style="131" customWidth="1"/>
    <col min="4869" max="5120" width="9.140625" style="131"/>
    <col min="5121" max="5121" width="22.7109375" style="131" customWidth="1"/>
    <col min="5122" max="5122" width="24.42578125" style="131" bestFit="1" customWidth="1"/>
    <col min="5123" max="5123" width="93.85546875" style="131" customWidth="1"/>
    <col min="5124" max="5124" width="96.140625" style="131" customWidth="1"/>
    <col min="5125" max="5376" width="9.140625" style="131"/>
    <col min="5377" max="5377" width="22.7109375" style="131" customWidth="1"/>
    <col min="5378" max="5378" width="24.42578125" style="131" bestFit="1" customWidth="1"/>
    <col min="5379" max="5379" width="93.85546875" style="131" customWidth="1"/>
    <col min="5380" max="5380" width="96.140625" style="131" customWidth="1"/>
    <col min="5381" max="5632" width="9.140625" style="131"/>
    <col min="5633" max="5633" width="22.7109375" style="131" customWidth="1"/>
    <col min="5634" max="5634" width="24.42578125" style="131" bestFit="1" customWidth="1"/>
    <col min="5635" max="5635" width="93.85546875" style="131" customWidth="1"/>
    <col min="5636" max="5636" width="96.140625" style="131" customWidth="1"/>
    <col min="5637" max="5888" width="9.140625" style="131"/>
    <col min="5889" max="5889" width="22.7109375" style="131" customWidth="1"/>
    <col min="5890" max="5890" width="24.42578125" style="131" bestFit="1" customWidth="1"/>
    <col min="5891" max="5891" width="93.85546875" style="131" customWidth="1"/>
    <col min="5892" max="5892" width="96.140625" style="131" customWidth="1"/>
    <col min="5893" max="6144" width="9.140625" style="131"/>
    <col min="6145" max="6145" width="22.7109375" style="131" customWidth="1"/>
    <col min="6146" max="6146" width="24.42578125" style="131" bestFit="1" customWidth="1"/>
    <col min="6147" max="6147" width="93.85546875" style="131" customWidth="1"/>
    <col min="6148" max="6148" width="96.140625" style="131" customWidth="1"/>
    <col min="6149" max="6400" width="9.140625" style="131"/>
    <col min="6401" max="6401" width="22.7109375" style="131" customWidth="1"/>
    <col min="6402" max="6402" width="24.42578125" style="131" bestFit="1" customWidth="1"/>
    <col min="6403" max="6403" width="93.85546875" style="131" customWidth="1"/>
    <col min="6404" max="6404" width="96.140625" style="131" customWidth="1"/>
    <col min="6405" max="6656" width="9.140625" style="131"/>
    <col min="6657" max="6657" width="22.7109375" style="131" customWidth="1"/>
    <col min="6658" max="6658" width="24.42578125" style="131" bestFit="1" customWidth="1"/>
    <col min="6659" max="6659" width="93.85546875" style="131" customWidth="1"/>
    <col min="6660" max="6660" width="96.140625" style="131" customWidth="1"/>
    <col min="6661" max="6912" width="9.140625" style="131"/>
    <col min="6913" max="6913" width="22.7109375" style="131" customWidth="1"/>
    <col min="6914" max="6914" width="24.42578125" style="131" bestFit="1" customWidth="1"/>
    <col min="6915" max="6915" width="93.85546875" style="131" customWidth="1"/>
    <col min="6916" max="6916" width="96.140625" style="131" customWidth="1"/>
    <col min="6917" max="7168" width="9.140625" style="131"/>
    <col min="7169" max="7169" width="22.7109375" style="131" customWidth="1"/>
    <col min="7170" max="7170" width="24.42578125" style="131" bestFit="1" customWidth="1"/>
    <col min="7171" max="7171" width="93.85546875" style="131" customWidth="1"/>
    <col min="7172" max="7172" width="96.140625" style="131" customWidth="1"/>
    <col min="7173" max="7424" width="9.140625" style="131"/>
    <col min="7425" max="7425" width="22.7109375" style="131" customWidth="1"/>
    <col min="7426" max="7426" width="24.42578125" style="131" bestFit="1" customWidth="1"/>
    <col min="7427" max="7427" width="93.85546875" style="131" customWidth="1"/>
    <col min="7428" max="7428" width="96.140625" style="131" customWidth="1"/>
    <col min="7429" max="7680" width="9.140625" style="131"/>
    <col min="7681" max="7681" width="22.7109375" style="131" customWidth="1"/>
    <col min="7682" max="7682" width="24.42578125" style="131" bestFit="1" customWidth="1"/>
    <col min="7683" max="7683" width="93.85546875" style="131" customWidth="1"/>
    <col min="7684" max="7684" width="96.140625" style="131" customWidth="1"/>
    <col min="7685" max="7936" width="9.140625" style="131"/>
    <col min="7937" max="7937" width="22.7109375" style="131" customWidth="1"/>
    <col min="7938" max="7938" width="24.42578125" style="131" bestFit="1" customWidth="1"/>
    <col min="7939" max="7939" width="93.85546875" style="131" customWidth="1"/>
    <col min="7940" max="7940" width="96.140625" style="131" customWidth="1"/>
    <col min="7941" max="8192" width="9.140625" style="131"/>
    <col min="8193" max="8193" width="22.7109375" style="131" customWidth="1"/>
    <col min="8194" max="8194" width="24.42578125" style="131" bestFit="1" customWidth="1"/>
    <col min="8195" max="8195" width="93.85546875" style="131" customWidth="1"/>
    <col min="8196" max="8196" width="96.140625" style="131" customWidth="1"/>
    <col min="8197" max="8448" width="9.140625" style="131"/>
    <col min="8449" max="8449" width="22.7109375" style="131" customWidth="1"/>
    <col min="8450" max="8450" width="24.42578125" style="131" bestFit="1" customWidth="1"/>
    <col min="8451" max="8451" width="93.85546875" style="131" customWidth="1"/>
    <col min="8452" max="8452" width="96.140625" style="131" customWidth="1"/>
    <col min="8453" max="8704" width="9.140625" style="131"/>
    <col min="8705" max="8705" width="22.7109375" style="131" customWidth="1"/>
    <col min="8706" max="8706" width="24.42578125" style="131" bestFit="1" customWidth="1"/>
    <col min="8707" max="8707" width="93.85546875" style="131" customWidth="1"/>
    <col min="8708" max="8708" width="96.140625" style="131" customWidth="1"/>
    <col min="8709" max="8960" width="9.140625" style="131"/>
    <col min="8961" max="8961" width="22.7109375" style="131" customWidth="1"/>
    <col min="8962" max="8962" width="24.42578125" style="131" bestFit="1" customWidth="1"/>
    <col min="8963" max="8963" width="93.85546875" style="131" customWidth="1"/>
    <col min="8964" max="8964" width="96.140625" style="131" customWidth="1"/>
    <col min="8965" max="9216" width="9.140625" style="131"/>
    <col min="9217" max="9217" width="22.7109375" style="131" customWidth="1"/>
    <col min="9218" max="9218" width="24.42578125" style="131" bestFit="1" customWidth="1"/>
    <col min="9219" max="9219" width="93.85546875" style="131" customWidth="1"/>
    <col min="9220" max="9220" width="96.140625" style="131" customWidth="1"/>
    <col min="9221" max="9472" width="9.140625" style="131"/>
    <col min="9473" max="9473" width="22.7109375" style="131" customWidth="1"/>
    <col min="9474" max="9474" width="24.42578125" style="131" bestFit="1" customWidth="1"/>
    <col min="9475" max="9475" width="93.85546875" style="131" customWidth="1"/>
    <col min="9476" max="9476" width="96.140625" style="131" customWidth="1"/>
    <col min="9477" max="9728" width="9.140625" style="131"/>
    <col min="9729" max="9729" width="22.7109375" style="131" customWidth="1"/>
    <col min="9730" max="9730" width="24.42578125" style="131" bestFit="1" customWidth="1"/>
    <col min="9731" max="9731" width="93.85546875" style="131" customWidth="1"/>
    <col min="9732" max="9732" width="96.140625" style="131" customWidth="1"/>
    <col min="9733" max="9984" width="9.140625" style="131"/>
    <col min="9985" max="9985" width="22.7109375" style="131" customWidth="1"/>
    <col min="9986" max="9986" width="24.42578125" style="131" bestFit="1" customWidth="1"/>
    <col min="9987" max="9987" width="93.85546875" style="131" customWidth="1"/>
    <col min="9988" max="9988" width="96.140625" style="131" customWidth="1"/>
    <col min="9989" max="10240" width="9.140625" style="131"/>
    <col min="10241" max="10241" width="22.7109375" style="131" customWidth="1"/>
    <col min="10242" max="10242" width="24.42578125" style="131" bestFit="1" customWidth="1"/>
    <col min="10243" max="10243" width="93.85546875" style="131" customWidth="1"/>
    <col min="10244" max="10244" width="96.140625" style="131" customWidth="1"/>
    <col min="10245" max="10496" width="9.140625" style="131"/>
    <col min="10497" max="10497" width="22.7109375" style="131" customWidth="1"/>
    <col min="10498" max="10498" width="24.42578125" style="131" bestFit="1" customWidth="1"/>
    <col min="10499" max="10499" width="93.85546875" style="131" customWidth="1"/>
    <col min="10500" max="10500" width="96.140625" style="131" customWidth="1"/>
    <col min="10501" max="10752" width="9.140625" style="131"/>
    <col min="10753" max="10753" width="22.7109375" style="131" customWidth="1"/>
    <col min="10754" max="10754" width="24.42578125" style="131" bestFit="1" customWidth="1"/>
    <col min="10755" max="10755" width="93.85546875" style="131" customWidth="1"/>
    <col min="10756" max="10756" width="96.140625" style="131" customWidth="1"/>
    <col min="10757" max="11008" width="9.140625" style="131"/>
    <col min="11009" max="11009" width="22.7109375" style="131" customWidth="1"/>
    <col min="11010" max="11010" width="24.42578125" style="131" bestFit="1" customWidth="1"/>
    <col min="11011" max="11011" width="93.85546875" style="131" customWidth="1"/>
    <col min="11012" max="11012" width="96.140625" style="131" customWidth="1"/>
    <col min="11013" max="11264" width="9.140625" style="131"/>
    <col min="11265" max="11265" width="22.7109375" style="131" customWidth="1"/>
    <col min="11266" max="11266" width="24.42578125" style="131" bestFit="1" customWidth="1"/>
    <col min="11267" max="11267" width="93.85546875" style="131" customWidth="1"/>
    <col min="11268" max="11268" width="96.140625" style="131" customWidth="1"/>
    <col min="11269" max="11520" width="9.140625" style="131"/>
    <col min="11521" max="11521" width="22.7109375" style="131" customWidth="1"/>
    <col min="11522" max="11522" width="24.42578125" style="131" bestFit="1" customWidth="1"/>
    <col min="11523" max="11523" width="93.85546875" style="131" customWidth="1"/>
    <col min="11524" max="11524" width="96.140625" style="131" customWidth="1"/>
    <col min="11525" max="11776" width="9.140625" style="131"/>
    <col min="11777" max="11777" width="22.7109375" style="131" customWidth="1"/>
    <col min="11778" max="11778" width="24.42578125" style="131" bestFit="1" customWidth="1"/>
    <col min="11779" max="11779" width="93.85546875" style="131" customWidth="1"/>
    <col min="11780" max="11780" width="96.140625" style="131" customWidth="1"/>
    <col min="11781" max="12032" width="9.140625" style="131"/>
    <col min="12033" max="12033" width="22.7109375" style="131" customWidth="1"/>
    <col min="12034" max="12034" width="24.42578125" style="131" bestFit="1" customWidth="1"/>
    <col min="12035" max="12035" width="93.85546875" style="131" customWidth="1"/>
    <col min="12036" max="12036" width="96.140625" style="131" customWidth="1"/>
    <col min="12037" max="12288" width="9.140625" style="131"/>
    <col min="12289" max="12289" width="22.7109375" style="131" customWidth="1"/>
    <col min="12290" max="12290" width="24.42578125" style="131" bestFit="1" customWidth="1"/>
    <col min="12291" max="12291" width="93.85546875" style="131" customWidth="1"/>
    <col min="12292" max="12292" width="96.140625" style="131" customWidth="1"/>
    <col min="12293" max="12544" width="9.140625" style="131"/>
    <col min="12545" max="12545" width="22.7109375" style="131" customWidth="1"/>
    <col min="12546" max="12546" width="24.42578125" style="131" bestFit="1" customWidth="1"/>
    <col min="12547" max="12547" width="93.85546875" style="131" customWidth="1"/>
    <col min="12548" max="12548" width="96.140625" style="131" customWidth="1"/>
    <col min="12549" max="12800" width="9.140625" style="131"/>
    <col min="12801" max="12801" width="22.7109375" style="131" customWidth="1"/>
    <col min="12802" max="12802" width="24.42578125" style="131" bestFit="1" customWidth="1"/>
    <col min="12803" max="12803" width="93.85546875" style="131" customWidth="1"/>
    <col min="12804" max="12804" width="96.140625" style="131" customWidth="1"/>
    <col min="12805" max="13056" width="9.140625" style="131"/>
    <col min="13057" max="13057" width="22.7109375" style="131" customWidth="1"/>
    <col min="13058" max="13058" width="24.42578125" style="131" bestFit="1" customWidth="1"/>
    <col min="13059" max="13059" width="93.85546875" style="131" customWidth="1"/>
    <col min="13060" max="13060" width="96.140625" style="131" customWidth="1"/>
    <col min="13061" max="13312" width="9.140625" style="131"/>
    <col min="13313" max="13313" width="22.7109375" style="131" customWidth="1"/>
    <col min="13314" max="13314" width="24.42578125" style="131" bestFit="1" customWidth="1"/>
    <col min="13315" max="13315" width="93.85546875" style="131" customWidth="1"/>
    <col min="13316" max="13316" width="96.140625" style="131" customWidth="1"/>
    <col min="13317" max="13568" width="9.140625" style="131"/>
    <col min="13569" max="13569" width="22.7109375" style="131" customWidth="1"/>
    <col min="13570" max="13570" width="24.42578125" style="131" bestFit="1" customWidth="1"/>
    <col min="13571" max="13571" width="93.85546875" style="131" customWidth="1"/>
    <col min="13572" max="13572" width="96.140625" style="131" customWidth="1"/>
    <col min="13573" max="13824" width="9.140625" style="131"/>
    <col min="13825" max="13825" width="22.7109375" style="131" customWidth="1"/>
    <col min="13826" max="13826" width="24.42578125" style="131" bestFit="1" customWidth="1"/>
    <col min="13827" max="13827" width="93.85546875" style="131" customWidth="1"/>
    <col min="13828" max="13828" width="96.140625" style="131" customWidth="1"/>
    <col min="13829" max="14080" width="9.140625" style="131"/>
    <col min="14081" max="14081" width="22.7109375" style="131" customWidth="1"/>
    <col min="14082" max="14082" width="24.42578125" style="131" bestFit="1" customWidth="1"/>
    <col min="14083" max="14083" width="93.85546875" style="131" customWidth="1"/>
    <col min="14084" max="14084" width="96.140625" style="131" customWidth="1"/>
    <col min="14085" max="14336" width="9.140625" style="131"/>
    <col min="14337" max="14337" width="22.7109375" style="131" customWidth="1"/>
    <col min="14338" max="14338" width="24.42578125" style="131" bestFit="1" customWidth="1"/>
    <col min="14339" max="14339" width="93.85546875" style="131" customWidth="1"/>
    <col min="14340" max="14340" width="96.140625" style="131" customWidth="1"/>
    <col min="14341" max="14592" width="9.140625" style="131"/>
    <col min="14593" max="14593" width="22.7109375" style="131" customWidth="1"/>
    <col min="14594" max="14594" width="24.42578125" style="131" bestFit="1" customWidth="1"/>
    <col min="14595" max="14595" width="93.85546875" style="131" customWidth="1"/>
    <col min="14596" max="14596" width="96.140625" style="131" customWidth="1"/>
    <col min="14597" max="14848" width="9.140625" style="131"/>
    <col min="14849" max="14849" width="22.7109375" style="131" customWidth="1"/>
    <col min="14850" max="14850" width="24.42578125" style="131" bestFit="1" customWidth="1"/>
    <col min="14851" max="14851" width="93.85546875" style="131" customWidth="1"/>
    <col min="14852" max="14852" width="96.140625" style="131" customWidth="1"/>
    <col min="14853" max="15104" width="9.140625" style="131"/>
    <col min="15105" max="15105" width="22.7109375" style="131" customWidth="1"/>
    <col min="15106" max="15106" width="24.42578125" style="131" bestFit="1" customWidth="1"/>
    <col min="15107" max="15107" width="93.85546875" style="131" customWidth="1"/>
    <col min="15108" max="15108" width="96.140625" style="131" customWidth="1"/>
    <col min="15109" max="15360" width="9.140625" style="131"/>
    <col min="15361" max="15361" width="22.7109375" style="131" customWidth="1"/>
    <col min="15362" max="15362" width="24.42578125" style="131" bestFit="1" customWidth="1"/>
    <col min="15363" max="15363" width="93.85546875" style="131" customWidth="1"/>
    <col min="15364" max="15364" width="96.140625" style="131" customWidth="1"/>
    <col min="15365" max="15616" width="9.140625" style="131"/>
    <col min="15617" max="15617" width="22.7109375" style="131" customWidth="1"/>
    <col min="15618" max="15618" width="24.42578125" style="131" bestFit="1" customWidth="1"/>
    <col min="15619" max="15619" width="93.85546875" style="131" customWidth="1"/>
    <col min="15620" max="15620" width="96.140625" style="131" customWidth="1"/>
    <col min="15621" max="15872" width="9.140625" style="131"/>
    <col min="15873" max="15873" width="22.7109375" style="131" customWidth="1"/>
    <col min="15874" max="15874" width="24.42578125" style="131" bestFit="1" customWidth="1"/>
    <col min="15875" max="15875" width="93.85546875" style="131" customWidth="1"/>
    <col min="15876" max="15876" width="96.140625" style="131" customWidth="1"/>
    <col min="15877" max="16128" width="9.140625" style="131"/>
    <col min="16129" max="16129" width="22.7109375" style="131" customWidth="1"/>
    <col min="16130" max="16130" width="24.42578125" style="131" bestFit="1" customWidth="1"/>
    <col min="16131" max="16131" width="93.85546875" style="131" customWidth="1"/>
    <col min="16132" max="16132" width="96.140625" style="131" customWidth="1"/>
    <col min="16133" max="16384" width="9.140625" style="131"/>
  </cols>
  <sheetData>
    <row r="1" spans="1:4">
      <c r="A1" s="143" t="s">
        <v>170</v>
      </c>
      <c r="B1" s="143"/>
      <c r="C1" s="143"/>
    </row>
    <row r="2" spans="1:4">
      <c r="A2" s="132" t="s">
        <v>167</v>
      </c>
      <c r="B2" s="132" t="s">
        <v>168</v>
      </c>
      <c r="C2" s="132" t="s">
        <v>169</v>
      </c>
      <c r="D2" s="132" t="s">
        <v>258</v>
      </c>
    </row>
    <row r="3" spans="1:4">
      <c r="A3" s="133" t="s">
        <v>69</v>
      </c>
      <c r="B3" s="134">
        <f>COUNTIF(MCDC!A$1:A$65536, "Requirement*")</f>
        <v>0</v>
      </c>
      <c r="C3" s="134">
        <f>COUNTIF(MCDC!A$1:A$65536, "Requirement*")</f>
        <v>0</v>
      </c>
      <c r="D3" s="134">
        <f xml:space="preserve"> COUNTIF(Testcases!A$1:A$65527, "TC*") - 1</f>
        <v>10</v>
      </c>
    </row>
    <row r="5" spans="1:4">
      <c r="A5" s="132" t="s">
        <v>259</v>
      </c>
      <c r="B5" s="132" t="s">
        <v>260</v>
      </c>
      <c r="C5" s="132" t="s">
        <v>204</v>
      </c>
      <c r="D5" s="132" t="s">
        <v>205</v>
      </c>
    </row>
    <row r="6" spans="1:4">
      <c r="A6" s="135" t="s">
        <v>261</v>
      </c>
      <c r="B6" s="136">
        <v>1</v>
      </c>
      <c r="C6" s="137" t="s">
        <v>206</v>
      </c>
      <c r="D6" s="133" t="s">
        <v>206</v>
      </c>
    </row>
  </sheetData>
  <mergeCells count="1">
    <mergeCell ref="A1:C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0" zoomScaleNormal="70" workbookViewId="0"/>
  </sheetViews>
  <sheetFormatPr defaultColWidth="29.28515625" defaultRowHeight="15"/>
  <cols>
    <col min="1" max="16384" width="29.28515625" style="7"/>
  </cols>
  <sheetData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3"/>
  <sheetViews>
    <sheetView tabSelected="1" zoomScale="70" zoomScaleNormal="70" workbookViewId="0">
      <selection activeCell="C6" sqref="C6"/>
    </sheetView>
  </sheetViews>
  <sheetFormatPr defaultColWidth="28.7109375" defaultRowHeight="15"/>
  <cols>
    <col min="1" max="16384" width="28.7109375" style="94"/>
  </cols>
  <sheetData>
    <row r="1" spans="1:7" ht="15.75">
      <c r="A1" s="92" t="s">
        <v>124</v>
      </c>
      <c r="B1" s="93"/>
      <c r="C1" s="93"/>
      <c r="D1" s="93"/>
      <c r="E1" s="93"/>
      <c r="F1" s="93"/>
      <c r="G1" s="93"/>
    </row>
    <row r="2" spans="1:7" ht="16.5" thickBot="1">
      <c r="A2" s="93"/>
      <c r="B2" s="92" t="s">
        <v>254</v>
      </c>
      <c r="C2" s="92"/>
      <c r="D2" s="92"/>
      <c r="E2" s="92"/>
      <c r="F2" s="93"/>
      <c r="G2" s="93"/>
    </row>
    <row r="3" spans="1:7">
      <c r="A3" s="93"/>
      <c r="B3" s="95" t="s">
        <v>3</v>
      </c>
      <c r="C3" s="96"/>
      <c r="D3" s="96"/>
      <c r="E3" s="96"/>
      <c r="F3" s="97"/>
      <c r="G3" s="98"/>
    </row>
    <row r="4" spans="1:7" ht="15.75" thickBot="1">
      <c r="A4" s="93"/>
      <c r="B4" s="99" t="s">
        <v>94</v>
      </c>
      <c r="C4" s="100"/>
      <c r="D4" s="100"/>
      <c r="E4" s="100"/>
      <c r="F4" s="101"/>
      <c r="G4" s="98"/>
    </row>
    <row r="5" spans="1:7">
      <c r="A5" s="93"/>
      <c r="B5" s="93"/>
      <c r="C5" s="93"/>
      <c r="D5" s="93"/>
      <c r="E5" s="93"/>
      <c r="F5" s="93"/>
      <c r="G5" s="93"/>
    </row>
    <row r="6" spans="1:7" ht="16.5" thickBot="1">
      <c r="A6" s="93"/>
      <c r="B6" s="102" t="s">
        <v>6</v>
      </c>
      <c r="C6" s="102"/>
      <c r="D6" s="102"/>
      <c r="E6" s="102"/>
      <c r="F6" s="102"/>
      <c r="G6" s="102"/>
    </row>
    <row r="7" spans="1:7">
      <c r="A7" s="93"/>
      <c r="B7" s="95" t="s">
        <v>3</v>
      </c>
      <c r="C7" s="96"/>
      <c r="D7" s="96"/>
      <c r="E7" s="96"/>
      <c r="F7" s="103"/>
      <c r="G7" s="104"/>
    </row>
    <row r="8" spans="1:7" ht="15.75" thickBot="1">
      <c r="A8" s="93"/>
      <c r="B8" s="99" t="s">
        <v>4</v>
      </c>
      <c r="C8" s="100"/>
      <c r="D8" s="100"/>
      <c r="E8" s="100"/>
      <c r="F8" s="105"/>
      <c r="G8" s="104"/>
    </row>
    <row r="9" spans="1:7">
      <c r="A9" s="93"/>
      <c r="B9" s="93"/>
      <c r="C9" s="93"/>
      <c r="D9" s="93"/>
      <c r="E9" s="93"/>
      <c r="F9" s="93"/>
      <c r="G9" s="93"/>
    </row>
    <row r="10" spans="1:7" ht="16.5" thickBot="1">
      <c r="A10" s="93"/>
      <c r="B10" s="102" t="s">
        <v>255</v>
      </c>
      <c r="C10" s="102"/>
      <c r="D10" s="102"/>
      <c r="E10" s="102"/>
      <c r="F10" s="106"/>
      <c r="G10" s="106"/>
    </row>
    <row r="11" spans="1:7">
      <c r="A11" s="93"/>
      <c r="B11" s="95" t="s">
        <v>3</v>
      </c>
      <c r="C11" s="96"/>
      <c r="D11" s="96"/>
      <c r="E11" s="96"/>
      <c r="F11" s="103"/>
      <c r="G11" s="104"/>
    </row>
    <row r="12" spans="1:7" ht="15.75" thickBot="1">
      <c r="A12" s="93"/>
      <c r="B12" s="99" t="s">
        <v>4</v>
      </c>
      <c r="C12" s="100"/>
      <c r="D12" s="100"/>
      <c r="E12" s="100"/>
      <c r="F12" s="105"/>
      <c r="G12" s="104"/>
    </row>
    <row r="13" spans="1:7">
      <c r="A13" s="93"/>
      <c r="B13" s="104"/>
      <c r="C13" s="104"/>
      <c r="D13" s="104"/>
      <c r="E13" s="104"/>
      <c r="F13" s="104"/>
      <c r="G13" s="104"/>
    </row>
    <row r="14" spans="1:7" ht="16.5" thickBot="1">
      <c r="A14" s="93"/>
      <c r="B14" s="102" t="s">
        <v>145</v>
      </c>
      <c r="C14" s="102"/>
      <c r="D14" s="102"/>
      <c r="E14" s="102"/>
      <c r="F14" s="106"/>
      <c r="G14" s="106"/>
    </row>
    <row r="15" spans="1:7">
      <c r="A15" s="93"/>
      <c r="B15" s="95" t="s">
        <v>3</v>
      </c>
      <c r="C15" s="96"/>
      <c r="D15" s="96"/>
      <c r="E15" s="96"/>
      <c r="F15" s="103"/>
      <c r="G15" s="104"/>
    </row>
    <row r="16" spans="1:7" ht="15.75" thickBot="1">
      <c r="A16" s="93"/>
      <c r="B16" s="99" t="s">
        <v>4</v>
      </c>
      <c r="C16" s="100"/>
      <c r="D16" s="100"/>
      <c r="E16" s="100"/>
      <c r="F16" s="105"/>
      <c r="G16" s="104"/>
    </row>
    <row r="17" spans="1:10">
      <c r="A17" s="93"/>
      <c r="B17" s="93"/>
      <c r="C17" s="93"/>
      <c r="D17" s="93"/>
      <c r="E17" s="93"/>
      <c r="F17" s="93"/>
      <c r="G17" s="93"/>
    </row>
    <row r="18" spans="1:10" ht="15.75">
      <c r="A18" s="107" t="s">
        <v>159</v>
      </c>
      <c r="B18" s="93"/>
      <c r="C18" s="93"/>
      <c r="D18" s="93"/>
      <c r="I18" s="7"/>
      <c r="J18" s="7"/>
    </row>
    <row r="19" spans="1:10" ht="15.75">
      <c r="A19" s="107" t="s">
        <v>146</v>
      </c>
      <c r="B19" s="93"/>
      <c r="C19" s="93"/>
      <c r="D19" s="93"/>
      <c r="I19" s="7"/>
      <c r="J19" s="7"/>
    </row>
    <row r="20" spans="1:10" ht="15.75">
      <c r="A20" s="107" t="s">
        <v>148</v>
      </c>
      <c r="B20" s="93"/>
      <c r="C20" s="93"/>
      <c r="D20" s="93"/>
      <c r="I20" s="7"/>
      <c r="J20" s="7"/>
    </row>
    <row r="21" spans="1:10" ht="15.75">
      <c r="A21" s="107" t="s">
        <v>147</v>
      </c>
      <c r="B21" s="93"/>
      <c r="C21" s="93"/>
      <c r="D21" s="93"/>
      <c r="I21" s="7"/>
      <c r="J21" s="7"/>
    </row>
    <row r="22" spans="1:10" ht="15.75">
      <c r="A22" s="108" t="s">
        <v>5</v>
      </c>
      <c r="B22" s="109" t="s">
        <v>0</v>
      </c>
      <c r="C22" s="110" t="s">
        <v>141</v>
      </c>
      <c r="D22" s="111" t="s">
        <v>255</v>
      </c>
      <c r="E22" s="112" t="s">
        <v>1</v>
      </c>
      <c r="F22" s="113" t="s">
        <v>96</v>
      </c>
      <c r="G22" s="113" t="s">
        <v>97</v>
      </c>
      <c r="H22" s="93"/>
      <c r="I22" s="114" t="s">
        <v>248</v>
      </c>
      <c r="J22" s="138" t="s">
        <v>249</v>
      </c>
    </row>
    <row r="23" spans="1:10" ht="15.75">
      <c r="A23" s="115"/>
      <c r="B23" s="116"/>
      <c r="C23" s="117"/>
      <c r="D23" s="118"/>
      <c r="E23" s="119"/>
      <c r="F23" s="120"/>
      <c r="G23" s="120"/>
      <c r="H23" s="93"/>
      <c r="I23" s="88"/>
      <c r="J23" s="139"/>
    </row>
    <row r="24" spans="1:10">
      <c r="A24" s="121" t="s">
        <v>262</v>
      </c>
      <c r="B24" s="122" t="str">
        <f>IF(B19="log",TRUE,IF(OR(B19="cont",B19="udisc"),B20+B18,"ENUM"))</f>
        <v>ENUM</v>
      </c>
      <c r="C24" s="123"/>
      <c r="D24" s="124">
        <v>1</v>
      </c>
      <c r="E24" s="125">
        <v>1</v>
      </c>
      <c r="F24" s="126" t="s">
        <v>265</v>
      </c>
      <c r="G24" s="126"/>
      <c r="H24" s="93"/>
      <c r="I24" s="89" t="str">
        <f>IF(I19="log",TRUE,IF(OR(I19="cont",I19="udisc"),I20+I18,"ENUM"))</f>
        <v>ENUM</v>
      </c>
      <c r="J24" s="140" t="str">
        <f>IF(J19="log",TRUE,IF(OR(J19="cont",J19="udisc"),J20+J18,"ENUM"))</f>
        <v>ENUM</v>
      </c>
    </row>
    <row r="25" spans="1:10">
      <c r="A25" s="121" t="s">
        <v>263</v>
      </c>
      <c r="B25" s="122" t="str">
        <f>IF(B19="log",FALSE,IF(OR(B19="cont",B19="udisc"),B21-B18,"ENUM"))</f>
        <v>ENUM</v>
      </c>
      <c r="C25" s="123"/>
      <c r="D25" s="124">
        <v>1</v>
      </c>
      <c r="E25" s="125">
        <v>1</v>
      </c>
      <c r="F25" s="126" t="s">
        <v>266</v>
      </c>
      <c r="G25" s="126"/>
      <c r="H25" s="93"/>
      <c r="I25" s="89" t="str">
        <f>IF(I19="log",FALSE,IF(OR(I19="cont",I19="udisc"),I21-I18,"ENUM"))</f>
        <v>ENUM</v>
      </c>
      <c r="J25" s="140" t="str">
        <f>IF(J19="log",FALSE,IF(OR(J19="cont",J19="udisc"),J21-J18,"ENUM"))</f>
        <v>ENUM</v>
      </c>
    </row>
    <row r="26" spans="1:10">
      <c r="A26" s="121" t="s">
        <v>264</v>
      </c>
      <c r="B26" s="122" t="str">
        <f>IF(B19="log",TRUE,IF(OR(B19="cont",B19="udisc"),B21+B18,"ENUM"))</f>
        <v>ENUM</v>
      </c>
      <c r="C26" s="123"/>
      <c r="D26" s="124">
        <v>1</v>
      </c>
      <c r="E26" s="125">
        <v>1</v>
      </c>
      <c r="F26" s="126" t="s">
        <v>267</v>
      </c>
      <c r="G26" s="126"/>
      <c r="H26" s="93"/>
      <c r="I26" s="89" t="str">
        <f>IF(I19="log",TRUE,IF(OR(I19="cont",I19="udisc"),I21+I18,"ENUM"))</f>
        <v>ENUM</v>
      </c>
      <c r="J26" s="140" t="str">
        <f>IF(J19="log",TRUE,IF(OR(J19="cont",J19="udisc"),J21+J18,"ENUM"))</f>
        <v>ENUM</v>
      </c>
    </row>
    <row r="27" spans="1:10">
      <c r="A27" s="121" t="s">
        <v>268</v>
      </c>
      <c r="B27" s="122"/>
      <c r="C27" s="123"/>
      <c r="D27" s="124"/>
      <c r="E27" s="125"/>
      <c r="F27" s="126"/>
      <c r="G27" s="126"/>
      <c r="H27" s="93"/>
      <c r="I27" s="89"/>
      <c r="J27" s="140"/>
    </row>
    <row r="28" spans="1:10">
      <c r="A28" s="121" t="s">
        <v>269</v>
      </c>
      <c r="B28" s="122"/>
      <c r="C28" s="123"/>
      <c r="D28" s="124"/>
      <c r="E28" s="125"/>
      <c r="F28" s="126"/>
      <c r="G28" s="126"/>
      <c r="H28" s="93"/>
      <c r="I28" s="89"/>
      <c r="J28" s="140"/>
    </row>
    <row r="29" spans="1:10">
      <c r="A29" s="121" t="s">
        <v>270</v>
      </c>
      <c r="B29" s="122"/>
      <c r="C29" s="123"/>
      <c r="D29" s="124"/>
      <c r="E29" s="125"/>
      <c r="F29" s="126"/>
      <c r="G29" s="126"/>
      <c r="H29" s="93"/>
      <c r="I29" s="89"/>
      <c r="J29" s="140"/>
    </row>
    <row r="30" spans="1:10">
      <c r="A30" s="121" t="s">
        <v>271</v>
      </c>
      <c r="B30" s="122"/>
      <c r="C30" s="123"/>
      <c r="D30" s="124"/>
      <c r="E30" s="125"/>
      <c r="F30" s="126"/>
      <c r="G30" s="126"/>
      <c r="H30" s="93"/>
      <c r="I30" s="89"/>
      <c r="J30" s="140"/>
    </row>
    <row r="31" spans="1:10">
      <c r="A31" s="121" t="s">
        <v>272</v>
      </c>
      <c r="B31" s="122"/>
      <c r="C31" s="123"/>
      <c r="D31" s="124"/>
      <c r="E31" s="125"/>
      <c r="F31" s="126"/>
      <c r="G31" s="126"/>
      <c r="H31" s="93"/>
      <c r="I31" s="89"/>
      <c r="J31" s="140"/>
    </row>
    <row r="32" spans="1:10">
      <c r="A32" s="121" t="s">
        <v>273</v>
      </c>
      <c r="B32" s="122"/>
      <c r="C32" s="123"/>
      <c r="D32" s="124"/>
      <c r="E32" s="125"/>
      <c r="F32" s="126"/>
      <c r="G32" s="126"/>
      <c r="H32" s="93"/>
      <c r="I32" s="89"/>
      <c r="J32" s="140"/>
    </row>
    <row r="33" spans="1:10">
      <c r="A33" s="121" t="s">
        <v>274</v>
      </c>
      <c r="B33" s="122"/>
      <c r="C33" s="123"/>
      <c r="D33" s="124"/>
      <c r="E33" s="125"/>
      <c r="F33" s="126"/>
      <c r="G33" s="126"/>
      <c r="H33" s="93"/>
      <c r="I33" s="89"/>
      <c r="J33" s="14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0" zoomScaleNormal="70" workbookViewId="0">
      <selection activeCell="L21" sqref="L21"/>
    </sheetView>
  </sheetViews>
  <sheetFormatPr defaultRowHeight="15"/>
  <cols>
    <col min="1" max="1" width="7.85546875" style="7" customWidth="1"/>
    <col min="2" max="2" width="9.140625" style="7" customWidth="1"/>
    <col min="3" max="3" width="11.28515625" style="7" customWidth="1"/>
    <col min="4" max="4" width="10.7109375" style="7" customWidth="1"/>
    <col min="5" max="5" width="7.42578125" style="7" customWidth="1"/>
    <col min="6" max="6" width="11.140625" style="7" customWidth="1"/>
    <col min="7" max="7" width="11" style="7" customWidth="1"/>
    <col min="8" max="8" width="10" style="7" bestFit="1" customWidth="1"/>
    <col min="9" max="9" width="11.7109375" style="7" bestFit="1" customWidth="1"/>
    <col min="10" max="10" width="9.140625" style="7"/>
    <col min="11" max="11" width="10.140625" style="7" customWidth="1"/>
    <col min="12" max="16384" width="9.140625" style="7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15"/>
  <sheetViews>
    <sheetView topLeftCell="C152" zoomScale="80" zoomScaleNormal="80" workbookViewId="0">
      <selection activeCell="G157" sqref="G157"/>
    </sheetView>
  </sheetViews>
  <sheetFormatPr defaultRowHeight="15"/>
  <cols>
    <col min="1" max="1" width="13.7109375" style="7" customWidth="1"/>
    <col min="2" max="2" width="163" style="7" customWidth="1"/>
    <col min="3" max="3" width="28" style="7" customWidth="1"/>
    <col min="4" max="4" width="39" style="7" customWidth="1"/>
    <col min="5" max="5" width="32" style="7" bestFit="1" customWidth="1"/>
    <col min="6" max="6" width="37.140625" style="7" bestFit="1" customWidth="1"/>
    <col min="7" max="7" width="32.42578125" style="7" bestFit="1" customWidth="1"/>
    <col min="8" max="8" width="36.5703125" style="7" bestFit="1" customWidth="1"/>
    <col min="9" max="9" width="24.85546875" style="7" bestFit="1" customWidth="1"/>
    <col min="10" max="10" width="15.42578125" style="7" bestFit="1" customWidth="1"/>
    <col min="11" max="11" width="19.140625" style="7" bestFit="1" customWidth="1"/>
    <col min="12" max="12" width="19" style="7" bestFit="1" customWidth="1"/>
    <col min="13" max="13" width="19.42578125" style="7" customWidth="1"/>
    <col min="14" max="14" width="15.42578125" style="7" bestFit="1" customWidth="1"/>
    <col min="15" max="16384" width="9.140625" style="7"/>
  </cols>
  <sheetData>
    <row r="1" spans="1:4" ht="15.75">
      <c r="A1" s="10" t="s">
        <v>65</v>
      </c>
      <c r="B1" s="10" t="s">
        <v>66</v>
      </c>
      <c r="C1" s="10" t="s">
        <v>67</v>
      </c>
      <c r="D1" s="10" t="s">
        <v>68</v>
      </c>
    </row>
    <row r="2" spans="1:4">
      <c r="A2" s="20" t="s">
        <v>71</v>
      </c>
      <c r="B2" s="20" t="s">
        <v>69</v>
      </c>
      <c r="C2" s="70">
        <v>41444</v>
      </c>
      <c r="D2" s="20" t="s">
        <v>70</v>
      </c>
    </row>
    <row r="3" spans="1:4" ht="45">
      <c r="A3" s="20" t="s">
        <v>72</v>
      </c>
      <c r="B3" s="21" t="s">
        <v>73</v>
      </c>
      <c r="C3" s="70">
        <v>41444</v>
      </c>
      <c r="D3" s="20" t="s">
        <v>70</v>
      </c>
    </row>
    <row r="4" spans="1:4">
      <c r="A4" s="20" t="s">
        <v>74</v>
      </c>
      <c r="B4" s="20" t="s">
        <v>75</v>
      </c>
      <c r="C4" s="70">
        <v>41445</v>
      </c>
      <c r="D4" s="20" t="s">
        <v>70</v>
      </c>
    </row>
    <row r="5" spans="1:4" ht="30">
      <c r="A5" s="20" t="s">
        <v>74</v>
      </c>
      <c r="B5" s="21" t="s">
        <v>76</v>
      </c>
      <c r="C5" s="70">
        <v>41446</v>
      </c>
      <c r="D5" s="20" t="s">
        <v>70</v>
      </c>
    </row>
    <row r="6" spans="1:4" ht="75.75">
      <c r="A6" s="20" t="s">
        <v>77</v>
      </c>
      <c r="B6" s="21" t="s">
        <v>78</v>
      </c>
      <c r="C6" s="70">
        <v>41449</v>
      </c>
      <c r="D6" s="20" t="s">
        <v>70</v>
      </c>
    </row>
    <row r="7" spans="1:4" ht="60.75">
      <c r="A7" s="20" t="s">
        <v>79</v>
      </c>
      <c r="B7" s="22" t="s">
        <v>80</v>
      </c>
      <c r="C7" s="70">
        <v>41449</v>
      </c>
      <c r="D7" s="20" t="s">
        <v>70</v>
      </c>
    </row>
    <row r="8" spans="1:4" ht="45.75">
      <c r="A8" s="20" t="s">
        <v>81</v>
      </c>
      <c r="B8" s="21" t="s">
        <v>83</v>
      </c>
      <c r="C8" s="70">
        <v>41450</v>
      </c>
      <c r="D8" s="20" t="s">
        <v>70</v>
      </c>
    </row>
    <row r="9" spans="1:4" ht="60.75">
      <c r="A9" s="20" t="s">
        <v>82</v>
      </c>
      <c r="B9" s="22" t="s">
        <v>85</v>
      </c>
      <c r="C9" s="70">
        <v>41451</v>
      </c>
      <c r="D9" s="20" t="s">
        <v>70</v>
      </c>
    </row>
    <row r="10" spans="1:4" ht="30">
      <c r="A10" s="20" t="s">
        <v>84</v>
      </c>
      <c r="B10" s="21" t="s">
        <v>86</v>
      </c>
      <c r="C10" s="70">
        <v>41452</v>
      </c>
      <c r="D10" s="20" t="s">
        <v>70</v>
      </c>
    </row>
    <row r="11" spans="1:4" ht="30.75">
      <c r="A11" s="20" t="s">
        <v>87</v>
      </c>
      <c r="B11" s="21" t="s">
        <v>88</v>
      </c>
      <c r="C11" s="70">
        <v>41453</v>
      </c>
      <c r="D11" s="20" t="s">
        <v>70</v>
      </c>
    </row>
    <row r="12" spans="1:4" ht="45.75">
      <c r="A12" s="20" t="s">
        <v>89</v>
      </c>
      <c r="B12" s="21" t="s">
        <v>90</v>
      </c>
      <c r="C12" s="70">
        <v>41456</v>
      </c>
      <c r="D12" s="20" t="s">
        <v>70</v>
      </c>
    </row>
    <row r="13" spans="1:4" ht="75">
      <c r="A13" s="9" t="s">
        <v>91</v>
      </c>
      <c r="B13" s="23" t="s">
        <v>92</v>
      </c>
      <c r="C13" s="70">
        <v>41459</v>
      </c>
      <c r="D13" s="20" t="s">
        <v>70</v>
      </c>
    </row>
    <row r="14" spans="1:4" ht="76.5">
      <c r="A14" s="9" t="s">
        <v>98</v>
      </c>
      <c r="B14" s="23" t="s">
        <v>100</v>
      </c>
      <c r="C14" s="70">
        <v>41463</v>
      </c>
      <c r="D14" s="20" t="s">
        <v>70</v>
      </c>
    </row>
    <row r="15" spans="1:4" ht="76.5">
      <c r="A15" s="9" t="s">
        <v>99</v>
      </c>
      <c r="B15" s="23" t="s">
        <v>101</v>
      </c>
      <c r="C15" s="70">
        <v>41463</v>
      </c>
      <c r="D15" s="20" t="s">
        <v>70</v>
      </c>
    </row>
    <row r="16" spans="1:4" ht="30.75">
      <c r="A16" s="9" t="s">
        <v>102</v>
      </c>
      <c r="B16" s="23" t="s">
        <v>103</v>
      </c>
      <c r="C16" s="70">
        <v>41464</v>
      </c>
      <c r="D16" s="20" t="s">
        <v>70</v>
      </c>
    </row>
    <row r="17" spans="1:4" ht="45.75">
      <c r="A17" s="9" t="s">
        <v>104</v>
      </c>
      <c r="B17" s="23" t="s">
        <v>105</v>
      </c>
      <c r="C17" s="70">
        <v>41467</v>
      </c>
      <c r="D17" s="20" t="s">
        <v>70</v>
      </c>
    </row>
    <row r="18" spans="1:4" ht="30.75">
      <c r="A18" s="9" t="s">
        <v>106</v>
      </c>
      <c r="B18" s="28" t="s">
        <v>107</v>
      </c>
      <c r="C18" s="70">
        <v>41471</v>
      </c>
      <c r="D18" s="20" t="s">
        <v>70</v>
      </c>
    </row>
    <row r="19" spans="1:4" ht="45.75">
      <c r="A19" s="9" t="s">
        <v>108</v>
      </c>
      <c r="B19" s="23" t="s">
        <v>109</v>
      </c>
      <c r="C19" s="70">
        <v>41471</v>
      </c>
      <c r="D19" s="20" t="s">
        <v>70</v>
      </c>
    </row>
    <row r="20" spans="1:4" ht="45.75">
      <c r="A20" s="9" t="s">
        <v>110</v>
      </c>
      <c r="B20" s="23" t="s">
        <v>111</v>
      </c>
      <c r="C20" s="70">
        <v>41474</v>
      </c>
      <c r="D20" s="20" t="s">
        <v>70</v>
      </c>
    </row>
    <row r="21" spans="1:4" ht="15.75">
      <c r="A21" s="9" t="s">
        <v>114</v>
      </c>
      <c r="B21" s="25" t="s">
        <v>115</v>
      </c>
      <c r="C21" s="70">
        <v>41480</v>
      </c>
      <c r="D21" s="20" t="s">
        <v>70</v>
      </c>
    </row>
    <row r="22" spans="1:4" ht="150.75">
      <c r="A22" s="9" t="s">
        <v>116</v>
      </c>
      <c r="B22" s="28" t="s">
        <v>117</v>
      </c>
      <c r="C22" s="70">
        <v>41492</v>
      </c>
      <c r="D22" s="20" t="s">
        <v>70</v>
      </c>
    </row>
    <row r="23" spans="1:4" ht="93.75">
      <c r="A23" s="9" t="s">
        <v>118</v>
      </c>
      <c r="B23" s="28" t="s">
        <v>119</v>
      </c>
      <c r="C23" s="70">
        <v>41499</v>
      </c>
      <c r="D23" s="20" t="s">
        <v>70</v>
      </c>
    </row>
    <row r="24" spans="1:4" ht="75.75">
      <c r="A24" s="9" t="s">
        <v>120</v>
      </c>
      <c r="B24" s="28" t="s">
        <v>121</v>
      </c>
      <c r="C24" s="70">
        <v>41499</v>
      </c>
      <c r="D24" s="20" t="s">
        <v>70</v>
      </c>
    </row>
    <row r="25" spans="1:4" ht="62.25">
      <c r="A25" s="9" t="s">
        <v>122</v>
      </c>
      <c r="B25" s="28" t="s">
        <v>123</v>
      </c>
      <c r="C25" s="70">
        <v>41499</v>
      </c>
      <c r="D25" s="20" t="s">
        <v>70</v>
      </c>
    </row>
    <row r="26" spans="1:4" ht="60.75">
      <c r="A26" s="9" t="s">
        <v>126</v>
      </c>
      <c r="B26" s="28" t="s">
        <v>127</v>
      </c>
      <c r="C26" s="70">
        <v>41501</v>
      </c>
      <c r="D26" s="20" t="s">
        <v>70</v>
      </c>
    </row>
    <row r="27" spans="1:4" ht="90.75">
      <c r="A27" s="9" t="s">
        <v>128</v>
      </c>
      <c r="B27" s="28" t="s">
        <v>129</v>
      </c>
      <c r="C27" s="70">
        <v>41501</v>
      </c>
      <c r="D27" s="20" t="s">
        <v>70</v>
      </c>
    </row>
    <row r="28" spans="1:4" ht="90.75">
      <c r="A28" s="9" t="s">
        <v>131</v>
      </c>
      <c r="B28" s="28" t="s">
        <v>130</v>
      </c>
      <c r="C28" s="70">
        <v>41505</v>
      </c>
      <c r="D28" s="20" t="s">
        <v>70</v>
      </c>
    </row>
    <row r="29" spans="1:4" ht="30.75">
      <c r="A29" s="9" t="s">
        <v>132</v>
      </c>
      <c r="B29" s="28" t="s">
        <v>133</v>
      </c>
      <c r="C29" s="70">
        <v>41507</v>
      </c>
      <c r="D29" s="20" t="s">
        <v>70</v>
      </c>
    </row>
    <row r="30" spans="1:4" ht="75.75">
      <c r="A30" s="9" t="s">
        <v>134</v>
      </c>
      <c r="B30" s="28" t="s">
        <v>182</v>
      </c>
      <c r="C30" s="70">
        <v>41528</v>
      </c>
      <c r="D30" s="20" t="s">
        <v>70</v>
      </c>
    </row>
    <row r="31" spans="1:4" ht="75.75">
      <c r="A31" s="9" t="s">
        <v>135</v>
      </c>
      <c r="B31" s="28" t="s">
        <v>136</v>
      </c>
      <c r="C31" s="70">
        <v>41529</v>
      </c>
      <c r="D31" s="20" t="s">
        <v>70</v>
      </c>
    </row>
    <row r="32" spans="1:4" ht="75.75">
      <c r="A32" s="9" t="s">
        <v>138</v>
      </c>
      <c r="B32" s="28" t="s">
        <v>137</v>
      </c>
      <c r="C32" s="70">
        <v>41529</v>
      </c>
      <c r="D32" s="20" t="s">
        <v>70</v>
      </c>
    </row>
    <row r="33" spans="1:4" ht="30.75">
      <c r="A33" s="9" t="s">
        <v>139</v>
      </c>
      <c r="B33" s="28" t="s">
        <v>140</v>
      </c>
      <c r="C33" s="70">
        <v>41536</v>
      </c>
      <c r="D33" s="20" t="s">
        <v>70</v>
      </c>
    </row>
    <row r="34" spans="1:4" ht="75.75">
      <c r="A34" s="9" t="s">
        <v>143</v>
      </c>
      <c r="B34" s="28" t="s">
        <v>183</v>
      </c>
      <c r="C34" s="70">
        <v>41537</v>
      </c>
      <c r="D34" s="20" t="s">
        <v>70</v>
      </c>
    </row>
    <row r="35" spans="1:4" ht="60.75">
      <c r="A35" s="9" t="s">
        <v>144</v>
      </c>
      <c r="B35" s="28" t="s">
        <v>184</v>
      </c>
      <c r="C35" s="70">
        <v>41542</v>
      </c>
      <c r="D35" s="20" t="s">
        <v>70</v>
      </c>
    </row>
    <row r="36" spans="1:4" ht="91.5">
      <c r="A36" s="9" t="s">
        <v>161</v>
      </c>
      <c r="B36" s="28" t="s">
        <v>162</v>
      </c>
      <c r="C36" s="70">
        <v>41592</v>
      </c>
      <c r="D36" s="20" t="s">
        <v>70</v>
      </c>
    </row>
    <row r="37" spans="1:4" ht="60.75">
      <c r="A37" s="9" t="s">
        <v>163</v>
      </c>
      <c r="B37" s="28" t="s">
        <v>164</v>
      </c>
      <c r="C37" s="70">
        <v>41592</v>
      </c>
      <c r="D37" s="20" t="s">
        <v>70</v>
      </c>
    </row>
    <row r="38" spans="1:4" ht="45.75">
      <c r="A38" s="9" t="s">
        <v>171</v>
      </c>
      <c r="B38" s="28" t="s">
        <v>172</v>
      </c>
      <c r="C38" s="70">
        <v>41592</v>
      </c>
      <c r="D38" s="20" t="s">
        <v>70</v>
      </c>
    </row>
    <row r="39" spans="1:4" ht="30.75">
      <c r="A39" s="9" t="s">
        <v>174</v>
      </c>
      <c r="B39" s="28" t="s">
        <v>175</v>
      </c>
      <c r="C39" s="70">
        <v>41604</v>
      </c>
      <c r="D39" s="20" t="s">
        <v>70</v>
      </c>
    </row>
    <row r="40" spans="1:4" ht="30.75">
      <c r="A40" s="9" t="s">
        <v>177</v>
      </c>
      <c r="B40" s="28" t="s">
        <v>176</v>
      </c>
      <c r="C40" s="70">
        <v>41604</v>
      </c>
      <c r="D40" s="20" t="s">
        <v>70</v>
      </c>
    </row>
    <row r="41" spans="1:4" ht="30.75">
      <c r="A41" s="9" t="s">
        <v>178</v>
      </c>
      <c r="B41" s="28" t="s">
        <v>179</v>
      </c>
      <c r="C41" s="70">
        <v>41604</v>
      </c>
      <c r="D41" s="20" t="s">
        <v>70</v>
      </c>
    </row>
    <row r="42" spans="1:4" ht="60.75">
      <c r="A42" s="9" t="s">
        <v>180</v>
      </c>
      <c r="B42" s="28" t="s">
        <v>181</v>
      </c>
      <c r="C42" s="70">
        <v>41631</v>
      </c>
      <c r="D42" s="20" t="s">
        <v>70</v>
      </c>
    </row>
    <row r="43" spans="1:4" ht="60.75">
      <c r="A43" s="9" t="s">
        <v>185</v>
      </c>
      <c r="B43" s="28" t="s">
        <v>186</v>
      </c>
      <c r="C43" s="70">
        <v>41683</v>
      </c>
      <c r="D43" s="20" t="s">
        <v>70</v>
      </c>
    </row>
    <row r="44" spans="1:4" ht="75.75">
      <c r="A44" s="9" t="s">
        <v>188</v>
      </c>
      <c r="B44" s="28" t="s">
        <v>189</v>
      </c>
      <c r="C44" s="70">
        <v>41683</v>
      </c>
      <c r="D44" s="20" t="s">
        <v>70</v>
      </c>
    </row>
    <row r="45" spans="1:4" ht="60.75">
      <c r="A45" s="9" t="s">
        <v>190</v>
      </c>
      <c r="B45" s="28" t="s">
        <v>191</v>
      </c>
      <c r="C45" s="70">
        <v>41689</v>
      </c>
      <c r="D45" s="20" t="s">
        <v>70</v>
      </c>
    </row>
    <row r="46" spans="1:4" ht="45.75">
      <c r="A46" s="9" t="s">
        <v>192</v>
      </c>
      <c r="B46" s="28" t="s">
        <v>193</v>
      </c>
      <c r="C46" s="70">
        <v>41690</v>
      </c>
      <c r="D46" s="20" t="s">
        <v>70</v>
      </c>
    </row>
    <row r="47" spans="1:4" ht="30.75">
      <c r="A47" s="9" t="s">
        <v>194</v>
      </c>
      <c r="B47" s="28" t="s">
        <v>195</v>
      </c>
      <c r="C47" s="70">
        <v>41690</v>
      </c>
      <c r="D47" s="20" t="s">
        <v>70</v>
      </c>
    </row>
    <row r="48" spans="1:4" ht="76.5">
      <c r="A48" s="9" t="s">
        <v>198</v>
      </c>
      <c r="B48" s="28" t="s">
        <v>199</v>
      </c>
      <c r="C48" s="70">
        <v>41694</v>
      </c>
      <c r="D48" s="20" t="s">
        <v>70</v>
      </c>
    </row>
    <row r="49" spans="1:4" ht="30.75">
      <c r="A49" s="9" t="s">
        <v>200</v>
      </c>
      <c r="B49" s="28" t="s">
        <v>201</v>
      </c>
      <c r="C49" s="70">
        <v>41695</v>
      </c>
      <c r="D49" s="20" t="s">
        <v>70</v>
      </c>
    </row>
    <row r="50" spans="1:4" ht="30.75">
      <c r="A50" s="9" t="s">
        <v>202</v>
      </c>
      <c r="B50" s="28" t="s">
        <v>203</v>
      </c>
      <c r="C50" s="70">
        <v>41695</v>
      </c>
      <c r="D50" s="20" t="s">
        <v>70</v>
      </c>
    </row>
    <row r="51" spans="1:4" ht="45.75">
      <c r="A51" s="9" t="s">
        <v>207</v>
      </c>
      <c r="B51" s="28" t="s">
        <v>208</v>
      </c>
      <c r="C51" s="70">
        <v>41698</v>
      </c>
      <c r="D51" s="20" t="s">
        <v>70</v>
      </c>
    </row>
    <row r="52" spans="1:4" ht="30.75">
      <c r="A52" s="9" t="s">
        <v>209</v>
      </c>
      <c r="B52" s="28" t="s">
        <v>210</v>
      </c>
      <c r="C52" s="70">
        <v>41710</v>
      </c>
      <c r="D52" s="20" t="s">
        <v>70</v>
      </c>
    </row>
    <row r="53" spans="1:4" ht="30.75">
      <c r="A53" s="9" t="s">
        <v>211</v>
      </c>
      <c r="B53" s="28" t="s">
        <v>212</v>
      </c>
      <c r="C53" s="70">
        <v>41717</v>
      </c>
      <c r="D53" s="20" t="s">
        <v>70</v>
      </c>
    </row>
    <row r="54" spans="1:4" ht="15.75">
      <c r="A54" s="9" t="s">
        <v>213</v>
      </c>
      <c r="B54" s="28" t="s">
        <v>214</v>
      </c>
      <c r="C54" s="70">
        <v>41724</v>
      </c>
      <c r="D54" s="20" t="s">
        <v>70</v>
      </c>
    </row>
    <row r="55" spans="1:4" ht="15.75">
      <c r="A55" s="9" t="s">
        <v>215</v>
      </c>
      <c r="B55" s="28" t="s">
        <v>216</v>
      </c>
      <c r="C55" s="70">
        <v>41725</v>
      </c>
      <c r="D55" s="20" t="s">
        <v>70</v>
      </c>
    </row>
    <row r="56" spans="1:4" ht="31.5">
      <c r="A56" s="9" t="s">
        <v>217</v>
      </c>
      <c r="B56" s="28" t="s">
        <v>218</v>
      </c>
      <c r="C56" s="70">
        <v>41729</v>
      </c>
      <c r="D56" s="20" t="s">
        <v>70</v>
      </c>
    </row>
    <row r="57" spans="1:4" ht="46.5">
      <c r="A57" s="9" t="s">
        <v>219</v>
      </c>
      <c r="B57" s="28" t="s">
        <v>220</v>
      </c>
      <c r="C57" s="70">
        <v>41729</v>
      </c>
      <c r="D57" s="20" t="s">
        <v>70</v>
      </c>
    </row>
    <row r="58" spans="1:4" ht="47.25">
      <c r="A58" s="9" t="s">
        <v>221</v>
      </c>
      <c r="B58" s="28" t="s">
        <v>222</v>
      </c>
      <c r="C58" s="70">
        <v>41731</v>
      </c>
      <c r="D58" s="20" t="s">
        <v>70</v>
      </c>
    </row>
    <row r="59" spans="1:4" ht="62.25">
      <c r="A59" s="9" t="s">
        <v>224</v>
      </c>
      <c r="B59" s="28" t="s">
        <v>225</v>
      </c>
      <c r="C59" s="70">
        <v>41732</v>
      </c>
      <c r="D59" s="20" t="s">
        <v>70</v>
      </c>
    </row>
    <row r="60" spans="1:4" ht="30.75">
      <c r="A60" s="9" t="s">
        <v>227</v>
      </c>
      <c r="B60" s="28" t="s">
        <v>226</v>
      </c>
      <c r="C60" s="70">
        <v>41733</v>
      </c>
      <c r="D60" s="20" t="s">
        <v>70</v>
      </c>
    </row>
    <row r="61" spans="1:4" ht="30.75">
      <c r="A61" s="9" t="s">
        <v>228</v>
      </c>
      <c r="B61" s="28" t="s">
        <v>229</v>
      </c>
      <c r="C61" s="70">
        <v>41736</v>
      </c>
      <c r="D61" s="20" t="s">
        <v>70</v>
      </c>
    </row>
    <row r="62" spans="1:4" ht="30.75">
      <c r="A62" s="9" t="s">
        <v>230</v>
      </c>
      <c r="B62" s="28" t="s">
        <v>231</v>
      </c>
      <c r="C62" s="70">
        <v>41737</v>
      </c>
      <c r="D62" s="20" t="s">
        <v>70</v>
      </c>
    </row>
    <row r="63" spans="1:4" ht="30.75">
      <c r="A63" s="9" t="s">
        <v>232</v>
      </c>
      <c r="B63" s="28" t="s">
        <v>233</v>
      </c>
      <c r="C63" s="70">
        <v>41737</v>
      </c>
      <c r="D63" s="20" t="s">
        <v>70</v>
      </c>
    </row>
    <row r="64" spans="1:4" ht="30.75">
      <c r="A64" s="9" t="s">
        <v>234</v>
      </c>
      <c r="B64" s="28" t="s">
        <v>235</v>
      </c>
      <c r="C64" s="70">
        <v>41737</v>
      </c>
      <c r="D64" s="20" t="s">
        <v>70</v>
      </c>
    </row>
    <row r="65" spans="1:4" ht="45.75">
      <c r="A65" s="9" t="s">
        <v>237</v>
      </c>
      <c r="B65" s="28" t="s">
        <v>238</v>
      </c>
      <c r="C65" s="70">
        <v>41747</v>
      </c>
      <c r="D65" s="20" t="s">
        <v>70</v>
      </c>
    </row>
    <row r="66" spans="1:4" ht="61.5">
      <c r="A66" s="9" t="s">
        <v>239</v>
      </c>
      <c r="B66" s="28" t="s">
        <v>240</v>
      </c>
      <c r="C66" s="70">
        <v>41765</v>
      </c>
      <c r="D66" s="20" t="s">
        <v>70</v>
      </c>
    </row>
    <row r="67" spans="1:4" ht="30.75">
      <c r="A67" s="9" t="s">
        <v>241</v>
      </c>
      <c r="B67" s="28" t="s">
        <v>242</v>
      </c>
      <c r="C67" s="70">
        <v>41782</v>
      </c>
      <c r="D67" s="20" t="s">
        <v>243</v>
      </c>
    </row>
    <row r="68" spans="1:4" ht="30.75">
      <c r="A68" s="9" t="s">
        <v>245</v>
      </c>
      <c r="B68" s="28" t="s">
        <v>244</v>
      </c>
      <c r="C68" s="70">
        <v>41788</v>
      </c>
      <c r="D68" s="20" t="s">
        <v>70</v>
      </c>
    </row>
    <row r="69" spans="1:4" ht="31.5">
      <c r="A69" s="9" t="s">
        <v>253</v>
      </c>
      <c r="B69" s="28" t="s">
        <v>252</v>
      </c>
      <c r="C69" s="70">
        <v>42288</v>
      </c>
      <c r="D69" s="20" t="s">
        <v>251</v>
      </c>
    </row>
    <row r="70" spans="1:4" ht="15.75">
      <c r="A70" s="15"/>
      <c r="B70" s="71"/>
      <c r="C70" s="72"/>
      <c r="D70" s="73"/>
    </row>
    <row r="71" spans="1:4" ht="15.75">
      <c r="A71" s="11" t="s">
        <v>57</v>
      </c>
    </row>
    <row r="72" spans="1:4">
      <c r="B72" s="7" t="s">
        <v>58</v>
      </c>
    </row>
    <row r="73" spans="1:4">
      <c r="B73" s="7" t="s">
        <v>59</v>
      </c>
    </row>
    <row r="74" spans="1:4">
      <c r="B74" s="7" t="s">
        <v>60</v>
      </c>
    </row>
    <row r="75" spans="1:4">
      <c r="B75" s="7" t="s">
        <v>61</v>
      </c>
    </row>
    <row r="76" spans="1:4">
      <c r="B76" s="7" t="s">
        <v>62</v>
      </c>
    </row>
    <row r="79" spans="1:4">
      <c r="A79" s="12" t="s">
        <v>40</v>
      </c>
    </row>
    <row r="80" spans="1:4" ht="15.75">
      <c r="B80" s="11" t="s">
        <v>29</v>
      </c>
    </row>
    <row r="81" spans="2:10">
      <c r="D81" s="13" t="s">
        <v>7</v>
      </c>
      <c r="E81" s="13" t="s">
        <v>8</v>
      </c>
      <c r="F81" s="13" t="s">
        <v>9</v>
      </c>
      <c r="G81" s="7" t="s">
        <v>10</v>
      </c>
      <c r="J81" s="13" t="s">
        <v>22</v>
      </c>
    </row>
    <row r="82" spans="2:10">
      <c r="C82" s="13" t="s">
        <v>11</v>
      </c>
      <c r="D82" s="9" t="s">
        <v>14</v>
      </c>
      <c r="E82" s="9"/>
      <c r="F82" s="9"/>
      <c r="G82" s="9"/>
      <c r="H82" s="9"/>
      <c r="I82" s="9"/>
      <c r="J82" s="9"/>
    </row>
    <row r="83" spans="2:10">
      <c r="C83" s="13" t="s">
        <v>12</v>
      </c>
      <c r="D83" s="9"/>
      <c r="E83" s="9" t="s">
        <v>15</v>
      </c>
      <c r="F83" s="9"/>
      <c r="G83" s="9"/>
      <c r="H83" s="9"/>
      <c r="I83" s="9"/>
      <c r="J83" s="9"/>
    </row>
    <row r="84" spans="2:10">
      <c r="C84" s="13" t="s">
        <v>13</v>
      </c>
      <c r="D84" s="9"/>
      <c r="E84" s="9" t="s">
        <v>10</v>
      </c>
      <c r="F84" s="9"/>
      <c r="G84" s="9"/>
      <c r="H84" s="9"/>
      <c r="I84" s="9"/>
      <c r="J84" s="9"/>
    </row>
    <row r="85" spans="2:10">
      <c r="C85" s="7" t="s">
        <v>10</v>
      </c>
      <c r="D85" s="9"/>
      <c r="E85" s="9"/>
      <c r="F85" s="9"/>
      <c r="G85" s="9" t="s">
        <v>16</v>
      </c>
      <c r="H85" s="9" t="s">
        <v>34</v>
      </c>
      <c r="I85" s="9"/>
      <c r="J85" s="9"/>
    </row>
    <row r="86" spans="2:10">
      <c r="D86" s="9"/>
      <c r="E86" s="14" t="s">
        <v>32</v>
      </c>
      <c r="F86" s="9" t="s">
        <v>33</v>
      </c>
      <c r="G86" s="9" t="s">
        <v>17</v>
      </c>
      <c r="H86" s="9" t="s">
        <v>18</v>
      </c>
      <c r="I86" s="9"/>
      <c r="J86" s="9"/>
    </row>
    <row r="87" spans="2:10">
      <c r="D87" s="9"/>
      <c r="E87" s="9" t="s">
        <v>30</v>
      </c>
      <c r="F87" s="9" t="s">
        <v>21</v>
      </c>
      <c r="G87" s="9" t="s">
        <v>19</v>
      </c>
      <c r="H87" s="9" t="s">
        <v>20</v>
      </c>
      <c r="I87" s="9"/>
      <c r="J87" s="9"/>
    </row>
    <row r="88" spans="2:10">
      <c r="D88" s="9"/>
      <c r="E88" s="9"/>
      <c r="F88" s="9"/>
      <c r="G88" s="9"/>
      <c r="H88" s="9"/>
      <c r="I88" s="9"/>
      <c r="J88" s="9"/>
    </row>
    <row r="89" spans="2:10">
      <c r="D89" s="9"/>
      <c r="E89" s="9"/>
      <c r="F89" s="9"/>
      <c r="G89" s="9"/>
      <c r="H89" s="9"/>
      <c r="I89" s="9"/>
      <c r="J89" s="9"/>
    </row>
    <row r="90" spans="2:10">
      <c r="C90" s="13" t="s">
        <v>23</v>
      </c>
    </row>
    <row r="91" spans="2:10">
      <c r="C91" s="13"/>
    </row>
    <row r="92" spans="2:10" ht="15.75">
      <c r="C92" s="11" t="s">
        <v>24</v>
      </c>
    </row>
    <row r="93" spans="2:10">
      <c r="D93" s="7" t="s">
        <v>25</v>
      </c>
      <c r="E93" s="7" t="s">
        <v>26</v>
      </c>
    </row>
    <row r="94" spans="2:10">
      <c r="D94" s="7" t="s">
        <v>27</v>
      </c>
      <c r="E94" s="7" t="s">
        <v>28</v>
      </c>
    </row>
    <row r="95" spans="2:10" ht="15.75">
      <c r="B95" s="11" t="s">
        <v>31</v>
      </c>
    </row>
    <row r="96" spans="2:10">
      <c r="C96" s="15" t="s">
        <v>35</v>
      </c>
    </row>
    <row r="97" spans="2:14">
      <c r="C97" s="7" t="s">
        <v>37</v>
      </c>
    </row>
    <row r="98" spans="2:14">
      <c r="C98" s="7" t="s">
        <v>36</v>
      </c>
    </row>
    <row r="99" spans="2:14">
      <c r="C99" s="7" t="s">
        <v>39</v>
      </c>
    </row>
    <row r="101" spans="2:14" ht="15.75">
      <c r="B101" s="11" t="s">
        <v>38</v>
      </c>
      <c r="C101" s="11"/>
    </row>
    <row r="102" spans="2:14">
      <c r="D102" s="13" t="s">
        <v>7</v>
      </c>
      <c r="E102" s="13" t="s">
        <v>8</v>
      </c>
      <c r="F102" s="13" t="s">
        <v>9</v>
      </c>
      <c r="G102" s="7" t="s">
        <v>10</v>
      </c>
      <c r="H102" s="7" t="s">
        <v>10</v>
      </c>
      <c r="I102" s="7" t="s">
        <v>10</v>
      </c>
      <c r="N102" s="13" t="s">
        <v>22</v>
      </c>
    </row>
    <row r="103" spans="2:14" ht="15.75">
      <c r="C103" s="13" t="s">
        <v>11</v>
      </c>
      <c r="D103" s="64" t="s">
        <v>173</v>
      </c>
      <c r="E103" s="4"/>
      <c r="F103" s="1"/>
      <c r="G103" s="1"/>
      <c r="H103" s="1"/>
      <c r="I103" s="1"/>
      <c r="J103" s="1"/>
    </row>
    <row r="104" spans="2:14" ht="15.75">
      <c r="C104" s="13" t="s">
        <v>12</v>
      </c>
      <c r="D104" s="2"/>
      <c r="E104" s="1" t="s">
        <v>112</v>
      </c>
      <c r="F104" s="1"/>
      <c r="G104" s="1"/>
      <c r="H104" s="1"/>
      <c r="I104" s="1"/>
      <c r="J104" s="1"/>
    </row>
    <row r="105" spans="2:14">
      <c r="C105" s="13" t="s">
        <v>13</v>
      </c>
      <c r="D105" s="1"/>
      <c r="E105" s="1"/>
      <c r="F105" s="1"/>
      <c r="G105" s="1"/>
      <c r="H105" s="1"/>
      <c r="I105" s="1"/>
      <c r="J105" s="1"/>
    </row>
    <row r="106" spans="2:14" ht="15.75">
      <c r="C106" s="7" t="s">
        <v>10</v>
      </c>
      <c r="D106" s="1"/>
      <c r="E106" s="5"/>
      <c r="F106" s="65" t="s">
        <v>2</v>
      </c>
      <c r="G106" s="66" t="s">
        <v>0</v>
      </c>
      <c r="H106" s="67"/>
      <c r="I106" s="68"/>
      <c r="J106" s="66" t="s">
        <v>1</v>
      </c>
      <c r="K106" s="68"/>
      <c r="L106" s="69" t="s">
        <v>95</v>
      </c>
      <c r="M106" s="17"/>
    </row>
    <row r="107" spans="2:14" ht="15.75">
      <c r="C107" s="7" t="s">
        <v>10</v>
      </c>
      <c r="D107" s="1"/>
      <c r="E107" s="65" t="s">
        <v>5</v>
      </c>
      <c r="F107" s="65"/>
      <c r="G107" s="65"/>
      <c r="H107" s="65"/>
      <c r="I107" s="65"/>
      <c r="J107" s="65"/>
      <c r="K107" s="65"/>
      <c r="L107" s="30"/>
      <c r="M107" s="2"/>
    </row>
    <row r="108" spans="2:14">
      <c r="C108" s="7" t="s">
        <v>10</v>
      </c>
      <c r="D108" s="1"/>
      <c r="E108" s="30" t="s">
        <v>113</v>
      </c>
      <c r="F108" s="5"/>
      <c r="G108" s="6"/>
      <c r="H108" s="6"/>
      <c r="I108" s="8"/>
      <c r="J108" s="6"/>
      <c r="K108" s="6"/>
      <c r="L108" s="29"/>
      <c r="M108" s="27"/>
    </row>
    <row r="109" spans="2:14">
      <c r="C109" s="7" t="s">
        <v>10</v>
      </c>
      <c r="D109" s="1"/>
      <c r="E109" s="30" t="s">
        <v>113</v>
      </c>
      <c r="F109" s="5"/>
      <c r="G109" s="5"/>
      <c r="H109" s="5"/>
      <c r="I109" s="8"/>
      <c r="J109" s="6"/>
      <c r="K109" s="6"/>
      <c r="L109" s="29"/>
      <c r="M109" s="27"/>
    </row>
    <row r="110" spans="2:14">
      <c r="C110" s="7" t="s">
        <v>10</v>
      </c>
      <c r="D110" s="1"/>
    </row>
    <row r="111" spans="2:14">
      <c r="C111" s="7" t="s">
        <v>10</v>
      </c>
      <c r="D111" s="1"/>
      <c r="E111" s="1"/>
      <c r="F111" s="1"/>
      <c r="G111" s="1"/>
      <c r="H111" s="1"/>
      <c r="I111" s="1"/>
      <c r="J111" s="1"/>
    </row>
    <row r="112" spans="2:14" ht="15.75">
      <c r="C112" s="7" t="s">
        <v>10</v>
      </c>
      <c r="D112" s="2"/>
      <c r="E112" s="16"/>
      <c r="F112" s="16"/>
      <c r="G112" s="16"/>
      <c r="H112" s="16"/>
      <c r="I112" s="16"/>
      <c r="J112" s="16"/>
    </row>
    <row r="113" spans="1:10">
      <c r="C113" s="13" t="s">
        <v>23</v>
      </c>
    </row>
    <row r="115" spans="1:10">
      <c r="A115" s="12" t="s">
        <v>41</v>
      </c>
    </row>
    <row r="116" spans="1:10" ht="15.75">
      <c r="B116" s="11" t="s">
        <v>29</v>
      </c>
    </row>
    <row r="117" spans="1:10">
      <c r="D117" s="13" t="s">
        <v>7</v>
      </c>
      <c r="E117" s="13" t="s">
        <v>8</v>
      </c>
      <c r="F117" s="7" t="s">
        <v>10</v>
      </c>
      <c r="G117" s="7" t="s">
        <v>10</v>
      </c>
      <c r="J117" s="13" t="s">
        <v>22</v>
      </c>
    </row>
    <row r="118" spans="1:10">
      <c r="C118" s="13" t="s">
        <v>11</v>
      </c>
      <c r="D118" s="9" t="s">
        <v>42</v>
      </c>
      <c r="E118" s="9" t="s">
        <v>43</v>
      </c>
      <c r="F118" s="9" t="s">
        <v>34</v>
      </c>
      <c r="G118" s="9" t="s">
        <v>44</v>
      </c>
      <c r="H118" s="9"/>
      <c r="I118" s="9"/>
      <c r="J118" s="9"/>
    </row>
    <row r="119" spans="1:10">
      <c r="C119" s="13" t="s">
        <v>12</v>
      </c>
      <c r="D119" s="9"/>
      <c r="E119" s="9" t="s">
        <v>17</v>
      </c>
      <c r="F119" s="9" t="s">
        <v>18</v>
      </c>
      <c r="G119" s="9"/>
      <c r="H119" s="9"/>
      <c r="I119" s="9"/>
      <c r="J119" s="9"/>
    </row>
    <row r="120" spans="1:10">
      <c r="C120" s="13" t="s">
        <v>13</v>
      </c>
      <c r="D120" s="9"/>
      <c r="E120" s="9"/>
      <c r="F120" s="9"/>
      <c r="G120" s="9"/>
      <c r="H120" s="9"/>
      <c r="I120" s="9"/>
      <c r="J120" s="9"/>
    </row>
    <row r="121" spans="1:10">
      <c r="C121" s="7" t="s">
        <v>10</v>
      </c>
      <c r="D121" s="9"/>
      <c r="E121" s="9"/>
      <c r="F121" s="9"/>
      <c r="G121" s="9"/>
      <c r="H121" s="9"/>
      <c r="I121" s="9"/>
      <c r="J121" s="9"/>
    </row>
    <row r="122" spans="1:10">
      <c r="D122" s="9"/>
      <c r="E122" s="14"/>
      <c r="F122" s="9"/>
      <c r="G122" s="9"/>
      <c r="H122" s="9"/>
      <c r="I122" s="9"/>
      <c r="J122" s="9"/>
    </row>
    <row r="123" spans="1:10">
      <c r="D123" s="9"/>
      <c r="E123" s="9"/>
      <c r="F123" s="9"/>
      <c r="G123" s="9"/>
      <c r="H123" s="9"/>
      <c r="I123" s="9"/>
      <c r="J123" s="9"/>
    </row>
    <row r="124" spans="1:10">
      <c r="D124" s="9"/>
      <c r="E124" s="9"/>
      <c r="F124" s="9"/>
      <c r="G124" s="9"/>
      <c r="H124" s="9"/>
      <c r="I124" s="9"/>
      <c r="J124" s="9"/>
    </row>
    <row r="125" spans="1:10">
      <c r="D125" s="9"/>
      <c r="E125" s="9"/>
      <c r="F125" s="9"/>
      <c r="G125" s="9"/>
      <c r="H125" s="9"/>
      <c r="I125" s="9"/>
      <c r="J125" s="9"/>
    </row>
    <row r="126" spans="1:10">
      <c r="C126" s="13" t="s">
        <v>23</v>
      </c>
    </row>
    <row r="127" spans="1:10">
      <c r="C127" s="13"/>
    </row>
    <row r="128" spans="1:10" ht="15.75">
      <c r="C128" s="11" t="s">
        <v>24</v>
      </c>
    </row>
    <row r="129" spans="2:11">
      <c r="D129" s="7" t="s">
        <v>25</v>
      </c>
      <c r="E129" s="7" t="s">
        <v>26</v>
      </c>
    </row>
    <row r="130" spans="2:11">
      <c r="D130" s="7" t="s">
        <v>27</v>
      </c>
      <c r="E130" s="7" t="s">
        <v>28</v>
      </c>
    </row>
    <row r="131" spans="2:11" ht="15.75">
      <c r="B131" s="11" t="s">
        <v>31</v>
      </c>
    </row>
    <row r="132" spans="2:11">
      <c r="C132" s="7" t="s">
        <v>45</v>
      </c>
    </row>
    <row r="133" spans="2:11">
      <c r="C133" s="7" t="s">
        <v>36</v>
      </c>
    </row>
    <row r="134" spans="2:11">
      <c r="C134" s="15" t="s">
        <v>46</v>
      </c>
    </row>
    <row r="135" spans="2:11">
      <c r="C135" s="15" t="s">
        <v>47</v>
      </c>
    </row>
    <row r="137" spans="2:11" ht="15.75">
      <c r="B137" s="11" t="s">
        <v>38</v>
      </c>
    </row>
    <row r="138" spans="2:11">
      <c r="D138" s="13" t="s">
        <v>7</v>
      </c>
      <c r="E138" s="13" t="s">
        <v>8</v>
      </c>
      <c r="F138" s="7" t="s">
        <v>10</v>
      </c>
      <c r="G138" s="7" t="s">
        <v>10</v>
      </c>
      <c r="J138" s="13" t="s">
        <v>22</v>
      </c>
    </row>
    <row r="139" spans="2:11" ht="15.75">
      <c r="C139" s="13" t="s">
        <v>11</v>
      </c>
      <c r="D139" s="11" t="s">
        <v>124</v>
      </c>
      <c r="K139" s="17"/>
    </row>
    <row r="140" spans="2:11" ht="16.5" thickBot="1">
      <c r="C140" s="13" t="s">
        <v>12</v>
      </c>
      <c r="E140" s="11" t="s">
        <v>254</v>
      </c>
      <c r="F140" s="11"/>
      <c r="G140" s="11"/>
      <c r="K140" s="4"/>
    </row>
    <row r="141" spans="2:11">
      <c r="C141" s="13" t="s">
        <v>13</v>
      </c>
      <c r="E141" s="52" t="s">
        <v>3</v>
      </c>
      <c r="F141" s="62"/>
      <c r="G141" s="62"/>
      <c r="H141" s="50"/>
      <c r="I141" s="15"/>
      <c r="J141" s="15"/>
    </row>
    <row r="142" spans="2:11" ht="15.75" thickBot="1">
      <c r="C142" s="7" t="s">
        <v>10</v>
      </c>
      <c r="E142" s="53" t="s">
        <v>94</v>
      </c>
      <c r="F142" s="63"/>
      <c r="G142" s="63"/>
      <c r="H142" s="51"/>
      <c r="I142" s="15"/>
      <c r="J142" s="15"/>
    </row>
    <row r="144" spans="2:11" ht="16.5" thickBot="1">
      <c r="E144" s="58" t="s">
        <v>246</v>
      </c>
      <c r="F144" s="58"/>
      <c r="G144" s="58"/>
      <c r="H144" s="54"/>
      <c r="I144" s="54"/>
      <c r="J144" s="54"/>
    </row>
    <row r="145" spans="4:12">
      <c r="E145" s="52" t="s">
        <v>3</v>
      </c>
      <c r="F145" s="62"/>
      <c r="G145" s="62"/>
      <c r="H145" s="55"/>
      <c r="I145" s="57"/>
      <c r="J145" s="57"/>
    </row>
    <row r="146" spans="4:12" ht="15.75" thickBot="1">
      <c r="E146" s="53" t="s">
        <v>4</v>
      </c>
      <c r="F146" s="63"/>
      <c r="G146" s="63"/>
      <c r="H146" s="56"/>
      <c r="I146" s="57"/>
      <c r="J146" s="57"/>
    </row>
    <row r="147" spans="4:12">
      <c r="E147" s="57"/>
      <c r="F147" s="57"/>
      <c r="G147" s="57"/>
      <c r="H147" s="57"/>
      <c r="I147" s="57"/>
      <c r="J147" s="57"/>
    </row>
    <row r="148" spans="4:12" ht="16.5" thickBot="1">
      <c r="E148" s="58" t="s">
        <v>247</v>
      </c>
      <c r="F148" s="58"/>
      <c r="G148" s="58"/>
      <c r="H148" s="54"/>
      <c r="I148" s="54"/>
      <c r="J148" s="54"/>
    </row>
    <row r="149" spans="4:12">
      <c r="E149" s="52" t="s">
        <v>3</v>
      </c>
      <c r="F149" s="62"/>
      <c r="G149" s="62"/>
      <c r="H149" s="55"/>
      <c r="I149" s="57"/>
      <c r="J149" s="57"/>
    </row>
    <row r="150" spans="4:12" ht="15.75" thickBot="1">
      <c r="E150" s="53" t="s">
        <v>4</v>
      </c>
      <c r="F150" s="63"/>
      <c r="G150" s="63"/>
      <c r="H150" s="56"/>
      <c r="I150" s="57"/>
      <c r="J150" s="57"/>
    </row>
    <row r="151" spans="4:12">
      <c r="E151" s="57"/>
      <c r="F151" s="57"/>
      <c r="G151" s="57"/>
      <c r="H151" s="57"/>
      <c r="I151" s="57"/>
      <c r="J151" s="57"/>
    </row>
    <row r="152" spans="4:12" ht="16.5" thickBot="1">
      <c r="E152" s="58" t="s">
        <v>145</v>
      </c>
      <c r="F152" s="58"/>
      <c r="G152" s="58"/>
      <c r="H152" s="54"/>
      <c r="I152" s="54"/>
      <c r="J152" s="54"/>
    </row>
    <row r="153" spans="4:12">
      <c r="E153" s="52" t="s">
        <v>3</v>
      </c>
      <c r="F153" s="62"/>
      <c r="G153" s="62"/>
      <c r="H153" s="55"/>
      <c r="I153" s="57"/>
      <c r="J153" s="57"/>
    </row>
    <row r="154" spans="4:12" ht="15.75" thickBot="1">
      <c r="E154" s="53" t="s">
        <v>4</v>
      </c>
      <c r="F154" s="63"/>
      <c r="G154" s="63"/>
      <c r="H154" s="56"/>
      <c r="I154" s="57"/>
      <c r="J154" s="57"/>
    </row>
    <row r="156" spans="4:12" ht="15.75">
      <c r="D156" s="25" t="s">
        <v>159</v>
      </c>
    </row>
    <row r="157" spans="4:12" ht="15.75">
      <c r="D157" s="25" t="s">
        <v>146</v>
      </c>
    </row>
    <row r="158" spans="4:12" ht="15.75">
      <c r="D158" s="25" t="s">
        <v>148</v>
      </c>
    </row>
    <row r="159" spans="4:12" ht="15.75">
      <c r="D159" s="25" t="s">
        <v>147</v>
      </c>
    </row>
    <row r="160" spans="4:12" ht="15.75">
      <c r="D160" s="34" t="s">
        <v>5</v>
      </c>
      <c r="E160" s="59" t="s">
        <v>0</v>
      </c>
      <c r="F160" s="87" t="s">
        <v>248</v>
      </c>
      <c r="G160" s="84" t="s">
        <v>249</v>
      </c>
      <c r="H160" s="78" t="s">
        <v>250</v>
      </c>
      <c r="I160" s="81" t="s">
        <v>141</v>
      </c>
      <c r="J160" s="33" t="s">
        <v>1</v>
      </c>
      <c r="K160" s="24" t="s">
        <v>96</v>
      </c>
      <c r="L160" s="24" t="s">
        <v>97</v>
      </c>
    </row>
    <row r="161" spans="3:12" ht="15.75">
      <c r="D161" s="31"/>
      <c r="E161" s="60"/>
      <c r="F161" s="88"/>
      <c r="G161" s="85"/>
      <c r="H161" s="79"/>
      <c r="I161" s="82"/>
      <c r="J161" s="35"/>
      <c r="K161" s="32"/>
      <c r="L161" s="32"/>
    </row>
    <row r="162" spans="3:12">
      <c r="D162" s="9"/>
      <c r="E162" s="61"/>
      <c r="F162" s="89"/>
      <c r="G162" s="86"/>
      <c r="H162" s="80"/>
      <c r="I162" s="83"/>
      <c r="J162" s="36"/>
      <c r="K162" s="23"/>
      <c r="L162" s="23"/>
    </row>
    <row r="163" spans="3:12">
      <c r="D163" s="9"/>
      <c r="E163" s="61"/>
      <c r="F163" s="89"/>
      <c r="G163" s="86"/>
      <c r="H163" s="80"/>
      <c r="I163" s="83"/>
      <c r="J163" s="36"/>
      <c r="K163" s="23"/>
      <c r="L163" s="23"/>
    </row>
    <row r="164" spans="3:12">
      <c r="D164" s="9"/>
      <c r="E164" s="61"/>
      <c r="F164" s="89"/>
      <c r="G164" s="86"/>
      <c r="H164" s="80"/>
      <c r="I164" s="83"/>
      <c r="J164" s="36"/>
      <c r="K164" s="23"/>
      <c r="L164" s="23"/>
    </row>
    <row r="165" spans="3:12">
      <c r="D165" s="9"/>
      <c r="E165" s="61"/>
      <c r="F165" s="89"/>
      <c r="G165" s="86"/>
      <c r="H165" s="80"/>
      <c r="I165" s="83"/>
      <c r="J165" s="36"/>
      <c r="K165" s="23"/>
      <c r="L165" s="23"/>
    </row>
    <row r="166" spans="3:12">
      <c r="D166" s="9"/>
      <c r="E166" s="61"/>
      <c r="F166" s="89"/>
      <c r="G166" s="86"/>
      <c r="H166" s="80"/>
      <c r="I166" s="83"/>
      <c r="J166" s="36"/>
      <c r="K166" s="23"/>
      <c r="L166" s="23"/>
    </row>
    <row r="167" spans="3:12">
      <c r="D167" s="9"/>
      <c r="E167" s="61"/>
      <c r="F167" s="89"/>
      <c r="G167" s="86"/>
      <c r="H167" s="80"/>
      <c r="I167" s="83"/>
      <c r="J167" s="36"/>
      <c r="K167" s="23"/>
      <c r="L167" s="23"/>
    </row>
    <row r="168" spans="3:12">
      <c r="C168" s="13" t="s">
        <v>23</v>
      </c>
      <c r="D168" s="9"/>
      <c r="E168" s="61"/>
      <c r="F168" s="89"/>
      <c r="G168" s="86"/>
      <c r="H168" s="80"/>
      <c r="I168" s="83"/>
      <c r="J168" s="36"/>
      <c r="K168" s="23"/>
      <c r="L168" s="23"/>
    </row>
    <row r="169" spans="3:12">
      <c r="D169" s="9"/>
      <c r="E169" s="61"/>
      <c r="F169" s="89"/>
      <c r="G169" s="86"/>
      <c r="H169" s="80"/>
      <c r="I169" s="83"/>
      <c r="J169" s="36"/>
      <c r="K169" s="23"/>
      <c r="L169" s="23"/>
    </row>
    <row r="170" spans="3:12">
      <c r="D170" s="9"/>
      <c r="E170" s="61"/>
      <c r="F170" s="89"/>
      <c r="G170" s="86"/>
      <c r="H170" s="80"/>
      <c r="I170" s="83"/>
      <c r="J170" s="36"/>
      <c r="K170" s="23"/>
      <c r="L170" s="23"/>
    </row>
    <row r="171" spans="3:12">
      <c r="D171" s="9"/>
      <c r="E171" s="61"/>
      <c r="F171" s="89"/>
      <c r="G171" s="86"/>
      <c r="H171" s="80"/>
      <c r="I171" s="83"/>
      <c r="J171" s="36"/>
      <c r="K171" s="23"/>
      <c r="L171" s="23"/>
    </row>
    <row r="172" spans="3:12">
      <c r="D172" s="15"/>
      <c r="E172" s="16"/>
      <c r="F172" s="16"/>
      <c r="G172" s="16"/>
      <c r="H172" s="16"/>
      <c r="I172" s="16"/>
      <c r="J172" s="16"/>
      <c r="K172" s="90"/>
      <c r="L172" s="90"/>
    </row>
    <row r="173" spans="3:12">
      <c r="D173" s="15"/>
      <c r="E173" s="16"/>
      <c r="F173" s="16"/>
      <c r="G173" s="16"/>
      <c r="H173" s="16"/>
      <c r="I173" s="16"/>
      <c r="J173" s="16"/>
      <c r="K173" s="90"/>
      <c r="L173" s="90"/>
    </row>
    <row r="183" spans="1:10">
      <c r="A183" s="12" t="s">
        <v>48</v>
      </c>
    </row>
    <row r="184" spans="1:10" ht="15.75">
      <c r="B184" s="11" t="s">
        <v>29</v>
      </c>
    </row>
    <row r="185" spans="1:10">
      <c r="D185" s="13" t="s">
        <v>7</v>
      </c>
      <c r="E185" s="13" t="s">
        <v>8</v>
      </c>
      <c r="F185" s="7" t="s">
        <v>10</v>
      </c>
      <c r="G185" s="7" t="s">
        <v>10</v>
      </c>
      <c r="J185" s="13" t="s">
        <v>22</v>
      </c>
    </row>
    <row r="186" spans="1:10">
      <c r="C186" s="13" t="s">
        <v>11</v>
      </c>
      <c r="D186" s="9" t="s">
        <v>56</v>
      </c>
      <c r="E186" s="9"/>
      <c r="F186" s="9"/>
      <c r="G186" s="9"/>
      <c r="H186" s="9"/>
      <c r="I186" s="9"/>
      <c r="J186" s="9"/>
    </row>
    <row r="187" spans="1:10">
      <c r="C187" s="13" t="s">
        <v>12</v>
      </c>
      <c r="D187" s="9" t="s">
        <v>50</v>
      </c>
      <c r="E187" s="9" t="s">
        <v>51</v>
      </c>
      <c r="F187" s="9"/>
      <c r="G187" s="9"/>
      <c r="H187" s="9"/>
      <c r="I187" s="9"/>
      <c r="J187" s="9"/>
    </row>
    <row r="188" spans="1:10">
      <c r="C188" s="13" t="s">
        <v>13</v>
      </c>
      <c r="D188" s="9" t="s">
        <v>49</v>
      </c>
      <c r="E188" s="9" t="s">
        <v>52</v>
      </c>
      <c r="F188" s="9"/>
      <c r="G188" s="9"/>
      <c r="H188" s="9"/>
      <c r="I188" s="9"/>
      <c r="J188" s="9"/>
    </row>
    <row r="189" spans="1:10">
      <c r="C189" s="7" t="s">
        <v>10</v>
      </c>
      <c r="D189" s="9"/>
      <c r="E189" s="9"/>
      <c r="F189" s="9"/>
      <c r="G189" s="9"/>
      <c r="H189" s="9"/>
      <c r="I189" s="9"/>
      <c r="J189" s="9"/>
    </row>
    <row r="190" spans="1:10">
      <c r="D190" s="9"/>
      <c r="E190" s="14"/>
      <c r="F190" s="9"/>
      <c r="G190" s="9"/>
      <c r="H190" s="9"/>
      <c r="I190" s="9"/>
      <c r="J190" s="9"/>
    </row>
    <row r="191" spans="1:10">
      <c r="D191" s="9"/>
      <c r="E191" s="9"/>
      <c r="F191" s="9"/>
      <c r="G191" s="9"/>
      <c r="H191" s="9"/>
      <c r="I191" s="9"/>
      <c r="J191" s="9"/>
    </row>
    <row r="192" spans="1:10">
      <c r="D192" s="9"/>
      <c r="E192" s="9"/>
      <c r="F192" s="9"/>
      <c r="G192" s="9"/>
      <c r="H192" s="9"/>
      <c r="I192" s="9"/>
      <c r="J192" s="9"/>
    </row>
    <row r="193" spans="2:13">
      <c r="D193" s="9"/>
      <c r="E193" s="9"/>
      <c r="F193" s="9"/>
      <c r="G193" s="9"/>
      <c r="H193" s="9"/>
      <c r="I193" s="9"/>
      <c r="J193" s="9"/>
    </row>
    <row r="194" spans="2:13">
      <c r="C194" s="13" t="s">
        <v>23</v>
      </c>
    </row>
    <row r="195" spans="2:13">
      <c r="C195" s="13"/>
    </row>
    <row r="196" spans="2:13" ht="15.75">
      <c r="C196" s="11" t="s">
        <v>24</v>
      </c>
    </row>
    <row r="197" spans="2:13">
      <c r="D197" s="7" t="s">
        <v>25</v>
      </c>
      <c r="E197" s="7" t="s">
        <v>26</v>
      </c>
    </row>
    <row r="198" spans="2:13">
      <c r="D198" s="7" t="s">
        <v>27</v>
      </c>
      <c r="E198" s="7" t="s">
        <v>28</v>
      </c>
    </row>
    <row r="199" spans="2:13" ht="15.75">
      <c r="B199" s="11" t="s">
        <v>31</v>
      </c>
    </row>
    <row r="200" spans="2:13">
      <c r="C200" s="7" t="s">
        <v>53</v>
      </c>
    </row>
    <row r="201" spans="2:13">
      <c r="C201" s="15" t="s">
        <v>54</v>
      </c>
    </row>
    <row r="202" spans="2:13">
      <c r="C202" s="15" t="s">
        <v>55</v>
      </c>
    </row>
    <row r="203" spans="2:13">
      <c r="C203" s="15"/>
    </row>
    <row r="205" spans="2:13" ht="15.75">
      <c r="B205" s="11" t="s">
        <v>38</v>
      </c>
    </row>
    <row r="206" spans="2:13">
      <c r="D206" s="13" t="s">
        <v>7</v>
      </c>
      <c r="E206" s="13" t="s">
        <v>8</v>
      </c>
      <c r="F206" s="7" t="s">
        <v>10</v>
      </c>
      <c r="G206" s="7" t="s">
        <v>10</v>
      </c>
      <c r="J206" s="13" t="s">
        <v>22</v>
      </c>
    </row>
    <row r="207" spans="2:13" ht="15.75">
      <c r="C207" s="13" t="s">
        <v>11</v>
      </c>
      <c r="D207" s="11" t="s">
        <v>124</v>
      </c>
      <c r="K207" s="19"/>
      <c r="L207" s="19"/>
      <c r="M207" s="19"/>
    </row>
    <row r="208" spans="2:13" ht="15.75">
      <c r="C208" s="13" t="s">
        <v>12</v>
      </c>
      <c r="E208" s="18" t="s">
        <v>6</v>
      </c>
      <c r="F208" s="19"/>
      <c r="G208" s="19"/>
      <c r="H208" s="19"/>
      <c r="I208" s="19"/>
      <c r="J208" s="19"/>
      <c r="K208" s="19"/>
      <c r="L208" s="3"/>
      <c r="M208" s="3"/>
    </row>
    <row r="209" spans="3:13" ht="15.75">
      <c r="C209" s="13" t="s">
        <v>13</v>
      </c>
      <c r="E209" s="10" t="s">
        <v>3</v>
      </c>
      <c r="F209" s="5" t="b">
        <v>1</v>
      </c>
      <c r="G209" s="6" t="b">
        <v>0</v>
      </c>
      <c r="H209" s="8"/>
      <c r="I209" s="5"/>
      <c r="J209" s="6"/>
      <c r="K209" s="6"/>
      <c r="L209" s="19"/>
      <c r="M209" s="19"/>
    </row>
    <row r="210" spans="3:13" ht="15.75">
      <c r="C210" s="7" t="s">
        <v>10</v>
      </c>
      <c r="E210" s="10" t="s">
        <v>4</v>
      </c>
      <c r="F210" s="8">
        <v>1</v>
      </c>
      <c r="G210" s="8">
        <v>0</v>
      </c>
      <c r="H210" s="8"/>
      <c r="I210" s="8"/>
      <c r="J210" s="8"/>
      <c r="K210" s="8"/>
    </row>
    <row r="212" spans="3:13" ht="15.75">
      <c r="E212" s="26" t="s">
        <v>93</v>
      </c>
      <c r="F212" s="15"/>
      <c r="G212" s="15"/>
      <c r="H212" s="15"/>
      <c r="I212" s="15"/>
      <c r="J212" s="15"/>
      <c r="K212" s="15"/>
    </row>
    <row r="213" spans="3:13" ht="15.75">
      <c r="E213" s="25" t="s">
        <v>3</v>
      </c>
      <c r="F213" s="9"/>
      <c r="G213" s="9"/>
      <c r="H213" s="9"/>
      <c r="I213" s="9"/>
      <c r="J213" s="9"/>
      <c r="K213" s="9"/>
    </row>
    <row r="214" spans="3:13" ht="15.75">
      <c r="E214" s="25" t="s">
        <v>94</v>
      </c>
      <c r="F214" s="9"/>
      <c r="G214" s="9"/>
      <c r="H214" s="9"/>
      <c r="I214" s="9"/>
      <c r="J214" s="9"/>
      <c r="K214" s="9"/>
    </row>
    <row r="215" spans="3:13">
      <c r="C215" s="13" t="s">
        <v>23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"/>
  <sheetViews>
    <sheetView workbookViewId="0">
      <selection activeCell="G37" sqref="G37"/>
    </sheetView>
  </sheetViews>
  <sheetFormatPr defaultRowHeight="12.75"/>
  <sheetData>
    <row r="1" spans="1:2">
      <c r="A1" t="s">
        <v>63</v>
      </c>
      <c r="B1" t="s">
        <v>142</v>
      </c>
    </row>
    <row r="2" spans="1:2">
      <c r="A2" t="s">
        <v>64</v>
      </c>
      <c r="B2">
        <v>1</v>
      </c>
    </row>
    <row r="3" spans="1:2">
      <c r="A3" t="s">
        <v>125</v>
      </c>
      <c r="B3" t="s">
        <v>124</v>
      </c>
    </row>
    <row r="4" spans="1:2">
      <c r="A4" t="s">
        <v>187</v>
      </c>
      <c r="B4" t="s">
        <v>196</v>
      </c>
    </row>
    <row r="5" spans="1:2">
      <c r="A5" t="s">
        <v>197</v>
      </c>
      <c r="B5" t="s">
        <v>275</v>
      </c>
    </row>
    <row r="6" spans="1:2">
      <c r="A6" t="s">
        <v>223</v>
      </c>
      <c r="B6" t="s">
        <v>236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XFD1048576"/>
    </sheetView>
  </sheetViews>
  <sheetFormatPr defaultColWidth="29.28515625" defaultRowHeight="15"/>
  <cols>
    <col min="1" max="16384" width="29.28515625" style="7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3"/>
  <sheetViews>
    <sheetView workbookViewId="0">
      <selection sqref="A1:XFD1048576"/>
    </sheetView>
  </sheetViews>
  <sheetFormatPr defaultColWidth="28.7109375" defaultRowHeight="15"/>
  <cols>
    <col min="1" max="16384" width="28.7109375" style="94"/>
  </cols>
  <sheetData>
    <row r="1" spans="1:7" ht="15.75">
      <c r="A1" s="92" t="s">
        <v>124</v>
      </c>
      <c r="B1" s="93"/>
      <c r="C1" s="93"/>
      <c r="D1" s="93"/>
      <c r="E1" s="93"/>
      <c r="F1" s="93"/>
      <c r="G1" s="93"/>
    </row>
    <row r="2" spans="1:7" ht="16.5" thickBot="1">
      <c r="A2" s="93"/>
      <c r="B2" s="92" t="s">
        <v>254</v>
      </c>
      <c r="C2" s="92"/>
      <c r="D2" s="92"/>
      <c r="E2" s="92"/>
      <c r="F2" s="93"/>
      <c r="G2" s="93"/>
    </row>
    <row r="3" spans="1:7">
      <c r="A3" s="93"/>
      <c r="B3" s="95" t="s">
        <v>3</v>
      </c>
      <c r="C3" s="96"/>
      <c r="D3" s="96"/>
      <c r="E3" s="96"/>
      <c r="F3" s="97"/>
      <c r="G3" s="98"/>
    </row>
    <row r="4" spans="1:7" ht="15.75" thickBot="1">
      <c r="A4" s="93"/>
      <c r="B4" s="99" t="s">
        <v>94</v>
      </c>
      <c r="C4" s="100"/>
      <c r="D4" s="100"/>
      <c r="E4" s="100"/>
      <c r="F4" s="101"/>
      <c r="G4" s="98"/>
    </row>
    <row r="5" spans="1:7">
      <c r="A5" s="93"/>
      <c r="B5" s="93"/>
      <c r="C5" s="93"/>
      <c r="D5" s="93"/>
      <c r="E5" s="93"/>
      <c r="F5" s="93"/>
      <c r="G5" s="93"/>
    </row>
    <row r="6" spans="1:7" ht="16.5" thickBot="1">
      <c r="A6" s="93"/>
      <c r="B6" s="102" t="s">
        <v>6</v>
      </c>
      <c r="C6" s="102"/>
      <c r="D6" s="102"/>
      <c r="E6" s="102"/>
      <c r="F6" s="102"/>
      <c r="G6" s="102"/>
    </row>
    <row r="7" spans="1:7">
      <c r="A7" s="93"/>
      <c r="B7" s="95" t="s">
        <v>3</v>
      </c>
      <c r="C7" s="96"/>
      <c r="D7" s="96"/>
      <c r="E7" s="96"/>
      <c r="F7" s="103"/>
      <c r="G7" s="104"/>
    </row>
    <row r="8" spans="1:7" ht="15.75" thickBot="1">
      <c r="A8" s="93"/>
      <c r="B8" s="99" t="s">
        <v>4</v>
      </c>
      <c r="C8" s="100"/>
      <c r="D8" s="100"/>
      <c r="E8" s="100"/>
      <c r="F8" s="105"/>
      <c r="G8" s="104"/>
    </row>
    <row r="9" spans="1:7">
      <c r="A9" s="93"/>
      <c r="B9" s="93"/>
      <c r="C9" s="93"/>
      <c r="D9" s="93"/>
      <c r="E9" s="93"/>
      <c r="F9" s="93"/>
      <c r="G9" s="93"/>
    </row>
    <row r="10" spans="1:7" ht="16.5" thickBot="1">
      <c r="A10" s="93"/>
      <c r="B10" s="102" t="s">
        <v>255</v>
      </c>
      <c r="C10" s="102"/>
      <c r="D10" s="102"/>
      <c r="E10" s="102"/>
      <c r="F10" s="106"/>
      <c r="G10" s="106"/>
    </row>
    <row r="11" spans="1:7">
      <c r="A11" s="93"/>
      <c r="B11" s="95" t="s">
        <v>3</v>
      </c>
      <c r="C11" s="96"/>
      <c r="D11" s="96"/>
      <c r="E11" s="96"/>
      <c r="F11" s="103"/>
      <c r="G11" s="104"/>
    </row>
    <row r="12" spans="1:7" ht="15.75" thickBot="1">
      <c r="A12" s="93"/>
      <c r="B12" s="99" t="s">
        <v>4</v>
      </c>
      <c r="C12" s="100"/>
      <c r="D12" s="100"/>
      <c r="E12" s="100"/>
      <c r="F12" s="105"/>
      <c r="G12" s="104"/>
    </row>
    <row r="13" spans="1:7">
      <c r="A13" s="93"/>
      <c r="B13" s="104"/>
      <c r="C13" s="104"/>
      <c r="D13" s="104"/>
      <c r="E13" s="104"/>
      <c r="F13" s="104"/>
      <c r="G13" s="104"/>
    </row>
    <row r="14" spans="1:7" ht="16.5" thickBot="1">
      <c r="A14" s="93"/>
      <c r="B14" s="102" t="s">
        <v>145</v>
      </c>
      <c r="C14" s="102"/>
      <c r="D14" s="102"/>
      <c r="E14" s="102"/>
      <c r="F14" s="106"/>
      <c r="G14" s="106"/>
    </row>
    <row r="15" spans="1:7">
      <c r="A15" s="93"/>
      <c r="B15" s="95" t="s">
        <v>3</v>
      </c>
      <c r="C15" s="96"/>
      <c r="D15" s="96"/>
      <c r="E15" s="96"/>
      <c r="F15" s="103"/>
      <c r="G15" s="104"/>
    </row>
    <row r="16" spans="1:7" ht="15.75" thickBot="1">
      <c r="A16" s="93"/>
      <c r="B16" s="99" t="s">
        <v>4</v>
      </c>
      <c r="C16" s="100"/>
      <c r="D16" s="100"/>
      <c r="E16" s="100"/>
      <c r="F16" s="105"/>
      <c r="G16" s="104"/>
    </row>
    <row r="17" spans="1:10">
      <c r="A17" s="93"/>
      <c r="B17" s="93"/>
      <c r="C17" s="93"/>
      <c r="D17" s="93"/>
      <c r="E17" s="93"/>
      <c r="F17" s="93"/>
      <c r="G17" s="93"/>
    </row>
    <row r="18" spans="1:10" ht="15.75">
      <c r="A18" s="107" t="s">
        <v>159</v>
      </c>
      <c r="B18" s="93"/>
      <c r="C18" s="93"/>
      <c r="D18" s="93"/>
      <c r="I18" s="7"/>
      <c r="J18" s="7"/>
    </row>
    <row r="19" spans="1:10" ht="15.75">
      <c r="A19" s="107" t="s">
        <v>146</v>
      </c>
      <c r="B19" s="93"/>
      <c r="C19" s="93"/>
      <c r="D19" s="93"/>
      <c r="I19" s="7"/>
      <c r="J19" s="7"/>
    </row>
    <row r="20" spans="1:10" ht="15.75">
      <c r="A20" s="107" t="s">
        <v>148</v>
      </c>
      <c r="B20" s="93"/>
      <c r="C20" s="93"/>
      <c r="D20" s="93"/>
      <c r="I20" s="7"/>
      <c r="J20" s="7"/>
    </row>
    <row r="21" spans="1:10" ht="15.75">
      <c r="A21" s="107" t="s">
        <v>147</v>
      </c>
      <c r="B21" s="93"/>
      <c r="C21" s="93"/>
      <c r="D21" s="93"/>
      <c r="I21" s="7"/>
      <c r="J21" s="7"/>
    </row>
    <row r="22" spans="1:10" ht="15.75">
      <c r="A22" s="108" t="s">
        <v>5</v>
      </c>
      <c r="B22" s="109" t="s">
        <v>0</v>
      </c>
      <c r="C22" s="110" t="s">
        <v>141</v>
      </c>
      <c r="D22" s="111" t="s">
        <v>255</v>
      </c>
      <c r="E22" s="112" t="s">
        <v>1</v>
      </c>
      <c r="F22" s="113" t="s">
        <v>96</v>
      </c>
      <c r="G22" s="113" t="s">
        <v>97</v>
      </c>
      <c r="H22" s="93"/>
      <c r="I22" s="114" t="s">
        <v>248</v>
      </c>
      <c r="J22" s="138" t="s">
        <v>249</v>
      </c>
    </row>
    <row r="23" spans="1:10" ht="15.75">
      <c r="A23" s="115"/>
      <c r="B23" s="116"/>
      <c r="C23" s="117"/>
      <c r="D23" s="118"/>
      <c r="E23" s="119"/>
      <c r="F23" s="120"/>
      <c r="G23" s="120"/>
      <c r="H23" s="93"/>
      <c r="I23" s="88"/>
      <c r="J23" s="139"/>
    </row>
    <row r="24" spans="1:10">
      <c r="A24" s="121" t="s">
        <v>262</v>
      </c>
      <c r="B24" s="122" t="str">
        <f>IF(B19="log",TRUE,IF(OR(B19="cont",B19="udisc"),B20+B18,"ENUM"))</f>
        <v>ENUM</v>
      </c>
      <c r="C24" s="123"/>
      <c r="D24" s="124">
        <v>1</v>
      </c>
      <c r="E24" s="125">
        <v>1</v>
      </c>
      <c r="F24" s="126" t="s">
        <v>265</v>
      </c>
      <c r="G24" s="126"/>
      <c r="H24" s="93"/>
      <c r="I24" s="89" t="str">
        <f>IF(I19="log",TRUE,IF(OR(I19="cont",I19="udisc"),I20+I18,"ENUM"))</f>
        <v>ENUM</v>
      </c>
      <c r="J24" s="140" t="str">
        <f>IF(J19="log",TRUE,IF(OR(J19="cont",J19="udisc"),J20+J18,"ENUM"))</f>
        <v>ENUM</v>
      </c>
    </row>
    <row r="25" spans="1:10">
      <c r="A25" s="121" t="s">
        <v>263</v>
      </c>
      <c r="B25" s="122" t="str">
        <f>IF(B19="log",FALSE,IF(OR(B19="cont",B19="udisc"),B21-B18,"ENUM"))</f>
        <v>ENUM</v>
      </c>
      <c r="C25" s="123"/>
      <c r="D25" s="124">
        <v>1</v>
      </c>
      <c r="E25" s="125">
        <v>1</v>
      </c>
      <c r="F25" s="126" t="s">
        <v>266</v>
      </c>
      <c r="G25" s="126"/>
      <c r="H25" s="93"/>
      <c r="I25" s="89" t="str">
        <f>IF(I19="log",FALSE,IF(OR(I19="cont",I19="udisc"),I21-I18,"ENUM"))</f>
        <v>ENUM</v>
      </c>
      <c r="J25" s="140" t="str">
        <f>IF(J19="log",FALSE,IF(OR(J19="cont",J19="udisc"),J21-J18,"ENUM"))</f>
        <v>ENUM</v>
      </c>
    </row>
    <row r="26" spans="1:10">
      <c r="A26" s="121" t="s">
        <v>264</v>
      </c>
      <c r="B26" s="122" t="str">
        <f>IF(B19="log",TRUE,IF(OR(B19="cont",B19="udisc"),B21+B18,"ENUM"))</f>
        <v>ENUM</v>
      </c>
      <c r="C26" s="123"/>
      <c r="D26" s="124">
        <v>1</v>
      </c>
      <c r="E26" s="125">
        <v>1</v>
      </c>
      <c r="F26" s="126" t="s">
        <v>267</v>
      </c>
      <c r="G26" s="126"/>
      <c r="H26" s="93"/>
      <c r="I26" s="89" t="str">
        <f>IF(I19="log",TRUE,IF(OR(I19="cont",I19="udisc"),I21+I18,"ENUM"))</f>
        <v>ENUM</v>
      </c>
      <c r="J26" s="140" t="str">
        <f>IF(J19="log",TRUE,IF(OR(J19="cont",J19="udisc"),J21+J18,"ENUM"))</f>
        <v>ENUM</v>
      </c>
    </row>
    <row r="27" spans="1:10">
      <c r="A27" s="121" t="s">
        <v>268</v>
      </c>
      <c r="B27" s="122"/>
      <c r="C27" s="123"/>
      <c r="D27" s="124"/>
      <c r="E27" s="125"/>
      <c r="F27" s="126"/>
      <c r="G27" s="126"/>
      <c r="H27" s="93"/>
      <c r="I27" s="89"/>
      <c r="J27" s="140"/>
    </row>
    <row r="28" spans="1:10">
      <c r="A28" s="121" t="s">
        <v>269</v>
      </c>
      <c r="B28" s="122"/>
      <c r="C28" s="123"/>
      <c r="D28" s="124"/>
      <c r="E28" s="125"/>
      <c r="F28" s="126"/>
      <c r="G28" s="126"/>
      <c r="H28" s="93"/>
      <c r="I28" s="89"/>
      <c r="J28" s="140"/>
    </row>
    <row r="29" spans="1:10">
      <c r="A29" s="121" t="s">
        <v>270</v>
      </c>
      <c r="B29" s="122"/>
      <c r="C29" s="123"/>
      <c r="D29" s="124"/>
      <c r="E29" s="125"/>
      <c r="F29" s="126"/>
      <c r="G29" s="126"/>
      <c r="H29" s="93"/>
      <c r="I29" s="89"/>
      <c r="J29" s="140"/>
    </row>
    <row r="30" spans="1:10">
      <c r="A30" s="121" t="s">
        <v>271</v>
      </c>
      <c r="B30" s="122"/>
      <c r="C30" s="123"/>
      <c r="D30" s="124"/>
      <c r="E30" s="125"/>
      <c r="F30" s="126"/>
      <c r="G30" s="126"/>
      <c r="H30" s="93"/>
      <c r="I30" s="89"/>
      <c r="J30" s="140"/>
    </row>
    <row r="31" spans="1:10">
      <c r="A31" s="121" t="s">
        <v>272</v>
      </c>
      <c r="B31" s="122"/>
      <c r="C31" s="123"/>
      <c r="D31" s="124"/>
      <c r="E31" s="125"/>
      <c r="F31" s="126"/>
      <c r="G31" s="126"/>
      <c r="H31" s="93"/>
      <c r="I31" s="89"/>
      <c r="J31" s="140"/>
    </row>
    <row r="32" spans="1:10">
      <c r="A32" s="121" t="s">
        <v>273</v>
      </c>
      <c r="B32" s="122"/>
      <c r="C32" s="123"/>
      <c r="D32" s="124"/>
      <c r="E32" s="125"/>
      <c r="F32" s="126"/>
      <c r="G32" s="126"/>
      <c r="H32" s="93"/>
      <c r="I32" s="89"/>
      <c r="J32" s="140"/>
    </row>
    <row r="33" spans="1:10">
      <c r="A33" s="121" t="s">
        <v>274</v>
      </c>
      <c r="B33" s="122"/>
      <c r="C33" s="123"/>
      <c r="D33" s="124"/>
      <c r="E33" s="125"/>
      <c r="F33" s="126"/>
      <c r="G33" s="126"/>
      <c r="H33" s="93"/>
      <c r="I33" s="89"/>
      <c r="J33" s="14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IV65536"/>
    </sheetView>
  </sheetViews>
  <sheetFormatPr defaultRowHeight="12.75"/>
  <cols>
    <col min="1" max="1" width="12.28515625" bestFit="1" customWidth="1"/>
    <col min="2" max="2" width="21.5703125" bestFit="1" customWidth="1"/>
    <col min="3" max="3" width="20.7109375" bestFit="1" customWidth="1"/>
    <col min="4" max="4" width="26.5703125" bestFit="1" customWidth="1"/>
    <col min="5" max="5" width="22.140625" bestFit="1" customWidth="1"/>
    <col min="6" max="7" width="23.5703125" bestFit="1" customWidth="1"/>
    <col min="8" max="8" width="24.28515625" bestFit="1" customWidth="1"/>
    <col min="9" max="9" width="22" bestFit="1" customWidth="1"/>
    <col min="10" max="10" width="23" bestFit="1" customWidth="1"/>
    <col min="11" max="11" width="26.5703125" bestFit="1" customWidth="1"/>
    <col min="12" max="12" width="22.42578125" bestFit="1" customWidth="1"/>
    <col min="13" max="13" width="28" bestFit="1" customWidth="1"/>
    <col min="14" max="14" width="19.5703125" bestFit="1" customWidth="1"/>
    <col min="15" max="15" width="20.28515625" bestFit="1" customWidth="1"/>
    <col min="16" max="16" width="21" bestFit="1" customWidth="1"/>
    <col min="17" max="17" width="22.5703125" bestFit="1" customWidth="1"/>
    <col min="18" max="18" width="23.85546875" bestFit="1" customWidth="1"/>
    <col min="19" max="19" width="19.85546875" bestFit="1" customWidth="1"/>
    <col min="20" max="20" width="21.140625" bestFit="1" customWidth="1"/>
    <col min="21" max="21" width="20" bestFit="1" customWidth="1"/>
    <col min="22" max="22" width="21.28515625" bestFit="1" customWidth="1"/>
    <col min="23" max="23" width="23" bestFit="1" customWidth="1"/>
    <col min="24" max="24" width="23.85546875" bestFit="1" customWidth="1"/>
    <col min="25" max="25" width="25.28515625" bestFit="1" customWidth="1"/>
    <col min="26" max="26" width="26" bestFit="1" customWidth="1"/>
    <col min="27" max="27" width="22.7109375" bestFit="1" customWidth="1"/>
    <col min="28" max="28" width="25" bestFit="1" customWidth="1"/>
    <col min="29" max="29" width="21.5703125" bestFit="1" customWidth="1"/>
    <col min="30" max="30" width="15.42578125" bestFit="1" customWidth="1"/>
    <col min="31" max="32" width="8.42578125" bestFit="1" customWidth="1"/>
    <col min="33" max="33" width="8" bestFit="1" customWidth="1"/>
    <col min="34" max="34" width="14.5703125" bestFit="1" customWidth="1"/>
    <col min="35" max="35" width="11.42578125" bestFit="1" customWidth="1"/>
    <col min="36" max="36" width="10.28515625" bestFit="1" customWidth="1"/>
    <col min="37" max="37" width="17.7109375" bestFit="1" customWidth="1"/>
    <col min="38" max="38" width="13.85546875" bestFit="1" customWidth="1"/>
    <col min="39" max="39" width="18.140625" bestFit="1" customWidth="1"/>
    <col min="40" max="40" width="21.5703125" bestFit="1" customWidth="1"/>
    <col min="41" max="41" width="19.140625" bestFit="1" customWidth="1"/>
    <col min="42" max="42" width="28.57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Revision History</vt:lpstr>
      <vt:lpstr>Summary</vt:lpstr>
      <vt:lpstr>MCDC</vt:lpstr>
      <vt:lpstr>Testcases</vt:lpstr>
      <vt:lpstr>Temporary</vt:lpstr>
      <vt:lpstr>Guide</vt:lpstr>
      <vt:lpstr>SavedVariables</vt:lpstr>
      <vt:lpstr>MCDC_Backup</vt:lpstr>
      <vt:lpstr>Testcases_Backup</vt:lpstr>
      <vt:lpstr>Constants_Backup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Vuong Van Thang (RBVH/ESS31)</dc:creator>
  <cp:lastModifiedBy>EXTERNAL Nguyen Duy Bang (Ban Vien, RBVH/EPS45)</cp:lastModifiedBy>
  <cp:lastPrinted>2011-11-24T09:39:42Z</cp:lastPrinted>
  <dcterms:created xsi:type="dcterms:W3CDTF">1996-10-14T23:33:28Z</dcterms:created>
  <dcterms:modified xsi:type="dcterms:W3CDTF">2020-08-25T06:28:26Z</dcterms:modified>
</cp:coreProperties>
</file>